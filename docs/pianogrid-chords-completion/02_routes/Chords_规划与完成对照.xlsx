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924c5a77aa4e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21b5565a50aa4f80"/>
    <x:sheet xmlns:r="http://schemas.openxmlformats.org/officeDocument/2006/relationships" name="当前158路由" sheetId="2" r:id="R9a982b2a19b04c30"/>
    <x:sheet xmlns:r="http://schemas.openxmlformats.org/officeDocument/2006/relationships" name="原38任务" sheetId="3" r:id="R6153600a63c049a7"/>
    <x:sheet xmlns:r="http://schemas.openxmlformats.org/officeDocument/2006/relationships" name="原127范围" sheetId="4" r:id="R88e40b2d429d42f0"/>
    <x:sheet xmlns:r="http://schemas.openxmlformats.org/officeDocument/2006/relationships" name="原191关键词" sheetId="5" r:id="Ra5d8f3759d864408"/>
    <x:sheet xmlns:r="http://schemas.openxmlformats.org/officeDocument/2006/relationships" name="完成任务17项" sheetId="6" r:id="R00fe263e610f47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5"/>
      <x:color rgb="FFFFFFFF"/>
      <x:name val="Carlito"/>
    </x:font>
    <x:font>
      <x:sz val="10"/>
      <x:color rgb="FF475569"/>
      <x:name val="Carlito"/>
    </x:font>
    <x:font>
      <x:b/>
      <x:sz val="11"/>
      <x:color rgb="FF16324F"/>
      <x:name val="Carlito"/>
    </x:font>
    <x:font>
      <x:sz val="10"/>
      <x:name val="Carlito"/>
    </x:font>
    <x:font>
      <x:b/>
      <x:sz val="18"/>
      <x:color rgb="FFFFFFFF"/>
      <x:name val="Carlito"/>
    </x:font>
    <x:font>
      <x:b/>
      <x:sz val="13"/>
      <x:color rgb="FF16324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EFFA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d3ba362fe3410a" /><Relationship Type="http://schemas.openxmlformats.org/officeDocument/2006/relationships/theme" Target="/xl/theme/theme1.xml" Id="Rfb49e99b4660463b" /><Relationship Type="http://schemas.microsoft.com/office/2022/11/relationships/FeaturePropertyBag" Target="/xl/featurePropertyBag/featurePropertyBag.xml" Id="R0c1ff388aafb4fee" /><Relationship Type="http://schemas.openxmlformats.org/officeDocument/2006/relationships/sharedStrings" Target="/xl/sharedStrings.xml" Id="Rde3eb637d70646b3" /><Relationship Type="http://schemas.openxmlformats.org/officeDocument/2006/relationships/worksheet" Target="/xl/worksheets/sheet1.xml" Id="R21b5565a50aa4f80" /><Relationship Type="http://schemas.openxmlformats.org/officeDocument/2006/relationships/worksheet" Target="/xl/worksheets/sheet2.xml" Id="R9a982b2a19b04c30" /><Relationship Type="http://schemas.openxmlformats.org/officeDocument/2006/relationships/worksheet" Target="/xl/worksheets/sheet3.xml" Id="R6153600a63c049a7" /><Relationship Type="http://schemas.openxmlformats.org/officeDocument/2006/relationships/worksheet" Target="/xl/worksheets/sheet4.xml" Id="R88e40b2d429d42f0" /><Relationship Type="http://schemas.openxmlformats.org/officeDocument/2006/relationships/worksheet" Target="/xl/worksheets/sheet5.xml" Id="Ra5d8f3759d864408" /><Relationship Type="http://schemas.openxmlformats.org/officeDocument/2006/relationships/worksheet" Target="/xl/worksheets/sheet6.xml" Id="R00fe263e610f47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e2" displayName="Table2" ref="A4:J162" headerRowCount="1" totalsRowCount="0" totalsRowShown="0">
  <x:tableColumns count="10">
    <x:tableColumn id="1" name="URL"/>
    <x:tableColumn id="2" name="类型"/>
    <x:tableColumn id="3" name="批次"/>
    <x:tableColumn id="4" name="属于原127"/>
    <x:tableColumn id="5" name="原ID"/>
    <x:tableColumn id="6" name="原代表词"/>
    <x:tableColumn id="7" name="原US量"/>
    <x:tableColumn id="8" name="实现证据"/>
    <x:tableColumn id="9" name="部署证据"/>
    <x:tableColumn id="10" name="动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3" displayName="Table3" ref="A4:H42" headerRowCount="1" totalsRowCount="0" totalsRowShown="0">
  <x:tableColumns count="8">
    <x:tableColumn id="1" name="任务ID"/>
    <x:tableColumn id="2" name="原代表词"/>
    <x:tableColumn id="3" name="原目标"/>
    <x:tableColumn id="4" name="最终目标"/>
    <x:tableColumn id="5" name="当前证据"/>
    <x:tableColumn id="6" name="本轮动作"/>
    <x:tableColumn id="7" name="原交付要求"/>
    <x:tableColumn id="8" name="验证证据路径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4" displayName="Table4" ref="A4:I131" headerRowCount="1" totalsRowCount="0" totalsRowShown="0">
  <x:tableColumns count="9">
    <x:tableColumn id="1" name="原ID"/>
    <x:tableColumn id="2" name="URL"/>
    <x:tableColumn id="3" name="原分类"/>
    <x:tableColumn id="4" name="模块归属"/>
    <x:tableColumn id="5" name="原代表词"/>
    <x:tableColumn id="6" name="原US量"/>
    <x:tableColumn id="7" name="原优先级"/>
    <x:tableColumn id="8" name="实现证据"/>
    <x:tableColumn id="9" name="本轮动作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5" displayName="Table5" ref="A4:I195" headerRowCount="1" totalsRowCount="0" totalsRowShown="0">
  <x:tableColumns count="9">
    <x:tableColumn id="1" name="关键词ID"/>
    <x:tableColumn id="2" name="原关键词"/>
    <x:tableColumn id="3" name="原US量"/>
    <x:tableColumn id="4" name="原归并关系"/>
    <x:tableColumn id="5" name="原任务ID"/>
    <x:tableColumn id="6" name="原URL"/>
    <x:tableColumn id="7" name="同页分区"/>
    <x:tableColumn id="8" name="原来源位置"/>
    <x:tableColumn id="9" name="原交付要求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6" displayName="Table6" ref="A4:H21" headerRowCount="1" totalsRowCount="0" totalsRowShown="0">
  <x:tableColumns count="8">
    <x:tableColumn id="1" name="ID"/>
    <x:tableColumn id="2" name="优先级"/>
    <x:tableColumn id="3" name="阶段"/>
    <x:tableColumn id="4" name="任务"/>
    <x:tableColumn id="5" name="怎么做"/>
    <x:tableColumn id="6" name="完成标准"/>
    <x:tableColumn id="7" name="责任人"/>
    <x:tableColumn id="8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9504b51d564b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d87438f92e42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fdd042033142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1a13da530d4a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08f895bc6cf4006" /></Relationships>
</file>

<file path=xl/worksheets/sheet1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2" hidden="0" customWidth="1"/>
    <x:col min="3" max="3" width="49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8" customHeight="1">
      <x:c r="A1" s="30" t="str">
        <x:v>PianoGrid Chords｜原规划 · 当前实现 · 完成目标</x:v>
      </x:c>
      <x:c r="B1" s="30"/>
      <x:c r="C1" s="30"/>
      <x:c r="D1" s="30"/>
      <x:c r="E1" s="30"/>
      <x:c r="F1" s="30"/>
    </x:row>
    <x:row r="2" ht="34" customHeight="1">
      <x:c r="A2" s="7" t="str">
        <x:v>2026-09-13｜数量不代表用户任务完成；本表不证明代码、部署或SEO已验收。</x:v>
      </x:c>
      <x:c r="B2" s="7"/>
      <x:c r="C2" s="7"/>
      <x:c r="D2" s="7"/>
      <x:c r="E2" s="7"/>
      <x:c r="F2" s="7"/>
    </x:row>
    <x:row r="4" ht="28" customHeight="1">
      <x:c r="A4" s="13" t="str">
        <x:v>口径</x:v>
      </x:c>
      <x:c r="B4" s="13" t="str">
        <x:v>数量</x:v>
      </x:c>
      <x:c r="C4" s="13" t="str">
        <x:v>依据与说明</x:v>
      </x:c>
    </x:row>
    <x:row r="5" ht="33" customHeight="1">
      <x:c r="A5" s="34" t="str">
        <x:v>原全站规划</x:v>
      </x:c>
      <x:c r="B5" s="39" t="n">
        <x:f>COUNTA('原127范围'!A5:A131)</x:f>
        <x:v>127</x:v>
      </x:c>
      <x:c r="C5" s="34" t="str">
        <x:v>原127完整保留，不作为当前发布数</x:v>
      </x:c>
    </x:row>
    <x:row r="6" ht="33" customHeight="1">
      <x:c r="A6" s="34" t="str">
        <x:v>原和弦核心＋共享支持</x:v>
      </x:c>
      <x:c r="B6" s="39" t="n">
        <x:f>COUNTIF('当前158路由'!C5:C162,"original15")</x:f>
        <x:v>15</x:v>
      </x:c>
      <x:c r="C6" s="34" t="str">
        <x:v>原13核心＋Guide／Finger Numbers</x:v>
      </x:c>
    </x:row>
    <x:row r="7" ht="33" customHeight="1">
      <x:c r="A7" s="34" t="str">
        <x:v>当前Chords系统</x:v>
      </x:c>
      <x:c r="B7" s="39" t="n">
        <x:f>COUNTA('当前158路由'!A5:A162)</x:f>
        <x:v>158</x:v>
      </x:c>
      <x:c r="C7" s="34" t="str">
        <x:v>按历次包与用户报告重建</x:v>
      </x:c>
    </x:row>
    <x:row r="8" ht="33" customHeight="1">
      <x:c r="A8" s="34" t="str">
        <x:v>其中详情</x:v>
      </x:c>
      <x:c r="B8" s="39" t="n">
        <x:f>COUNTIF('当前158路由'!B5:B162,"detail")</x:f>
        <x:v>145</x:v>
      </x:c>
      <x:c r="C8" s="34" t="str">
        <x:v>基础25＋N2B48＋N2C48＋N2D24</x:v>
      </x:c>
    </x:row>
    <x:row r="9" ht="33" customHeight="1">
      <x:c r="A9" s="34" t="str">
        <x:v>其中分类</x:v>
      </x:c>
      <x:c r="B9" s="39" t="n">
        <x:f>COUNTIF('当前158路由'!B5:B162,"category")</x:f>
        <x:v>7</x:v>
      </x:c>
      <x:c r="C9" s="34" t="str">
        <x:v>Major／Minor／Dim／Aug／Sus／Seventh／Add</x:v>
      </x:c>
    </x:row>
    <x:row r="10" ht="33" customHeight="1">
      <x:c r="A10" s="34" t="str">
        <x:v>其中支撑</x:v>
      </x:c>
      <x:c r="B10" s="39" t="n">
        <x:f>COUNTIF('当前158路由'!B5:B162,"support")</x:f>
        <x:v>6</x:v>
      </x:c>
      <x:c r="C10" s="34" t="str">
        <x:v>Hub、By-key、Finder、Progressions、Guide、Finger</x:v>
      </x:c>
    </x:row>
    <x:row r="11" ht="33" customHeight="1">
      <x:c r="A11" s="34" t="str">
        <x:v>相对原核心新增</x:v>
      </x:c>
      <x:c r="B11" s="39" t="n">
        <x:f>B7-B6</x:f>
        <x:v>143</x:v>
      </x:c>
      <x:c r="C11" s="34" t="str">
        <x:v>后续批准的新URL，不冒充原关键词需求</x:v>
      </x:c>
    </x:row>
    <x:row r="12" ht="33" customHeight="1">
      <x:c r="A12" s="34" t="str">
        <x:v>本包新增URL</x:v>
      </x:c>
      <x:c r="B12" s="39" t="n">
        <x:v>2</x:v>
      </x:c>
      <x:c r="C12" s="34" t="str">
        <x:v>Extended、Altered；不新增对象详情页</x:v>
      </x:c>
    </x:row>
    <x:row r="13" ht="33" customHeight="1">
      <x:c r="A13" s="34" t="str">
        <x:v>目标Chords系统</x:v>
      </x:c>
      <x:c r="B13" s="39" t="n">
        <x:f>SUM(B7,B12)</x:f>
        <x:v>160</x:v>
      </x:c>
      <x:c r="C13" s="34" t="str">
        <x:v>无其他并行模块变更时</x:v>
      </x:c>
    </x:row>
    <x:row r="14" ht="33" customHeight="1">
      <x:c r="A14" s="34" t="str">
        <x:v>当前全站业务URL（用户报告）</x:v>
      </x:c>
      <x:c r="B14" s="39" t="n">
        <x:v>171</x:v>
      </x:c>
      <x:c r="C14" s="34" t="str">
        <x:v>未独立核对线上部署</x:v>
      </x:c>
    </x:row>
    <x:row r="15" ht="33" customHeight="1">
      <x:c r="A15" s="34" t="str">
        <x:v>目标全站业务URL</x:v>
      </x:c>
      <x:c r="B15" s="39" t="n">
        <x:f>SUM(B14,B12)</x:f>
        <x:v>173</x:v>
      </x:c>
      <x:c r="C15" s="34" t="str">
        <x:v>假设其他模块本轮数量不变</x:v>
      </x:c>
    </x:row>
    <x:row r="16" ht="33" customHeight="1">
      <x:c r="A16" s="34" t="str">
        <x:v>框架输出（用户报告）</x:v>
      </x:c>
      <x:c r="B16" s="39" t="n">
        <x:v>5</x:v>
      </x:c>
      <x:c r="C16" s="34" t="str">
        <x:v>代码build清单需在仓库确认</x:v>
      </x:c>
    </x:row>
    <x:row r="17" ht="33" customHeight="1">
      <x:c r="A17" s="34" t="str">
        <x:v>目标build输出</x:v>
      </x:c>
      <x:c r="B17" s="39" t="n">
        <x:f>SUM(B15,B16)</x:f>
        <x:v>178</x:v>
      </x:c>
      <x:c r="C17" s="34" t="str">
        <x:v>仅条件估算，不强制凑数</x:v>
      </x:c>
    </x:row>
    <x:row r="18" ht="33" customHeight="1">
      <x:c r="A18" s="34" t="str">
        <x:v>原任务组</x:v>
      </x:c>
      <x:c r="B18" s="39" t="n">
        <x:f>COUNTA('原38任务'!A5:A42)</x:f>
        <x:v>38</x:v>
      </x:c>
      <x:c r="C18" s="34" t="str">
        <x:v>按15个比较范围页逐组保留</x:v>
      </x:c>
    </x:row>
    <x:row r="19" ht="33" customHeight="1">
      <x:c r="A19" s="34" t="str">
        <x:v>原关键词记录</x:v>
      </x:c>
      <x:c r="B19" s="39" t="n">
        <x:f>COUNTA('原191关键词'!A5:A195)</x:f>
        <x:v>191</x:v>
      </x:c>
      <x:c r="C19" s="34" t="str">
        <x:v>逐词原量/来源保留；未重查当前volume</x:v>
      </x:c>
    </x:row>
    <x:row r="21" ht="42" customHeight="1">
      <x:c r="A21" s="41" t="str">
        <x:v>下一步：让Codex执行 08_codex/00_一次执行到工程收尾.md；A–F连续推进，人工与真实SEO结果单独验收。</x:v>
      </x:c>
      <x:c r="B21" s="41"/>
      <x:c r="C21" s="41"/>
      <x:c r="D21" s="41"/>
      <x:c r="E21" s="41"/>
      <x:c r="F21" s="41"/>
    </x:row>
  </x:sheetData>
  <x:mergeCells>
    <x:mergeCell ref="A1:F1"/>
    <x:mergeCell ref="A2:F2"/>
    <x:mergeCell ref="A21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2" hidden="0" customWidth="1"/>
    <x:col min="3" max="3" width="18" hidden="0" customWidth="1"/>
    <x:col min="4" max="4" width="13" hidden="0" customWidth="1"/>
    <x:col min="5" max="5" width="10" hidden="0" customWidth="1"/>
    <x:col min="6" max="6" width="30" hidden="0" customWidth="1"/>
    <x:col min="7" max="7" width="13" hidden="0" customWidth="1"/>
    <x:col min="8" max="8" width="26" hidden="0" customWidth="1"/>
    <x:col min="9" max="9" width="26" hidden="0" customWidth="1"/>
    <x:col min="10" max="10" width="30" hidden="0" customWidth="1"/>
  </x:cols>
  <x:sheetData>
    <x:row r="1" ht="32" customHeight="1">
      <x:c r="A1" s="3" t="str">
        <x:v>当前158路由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证据口径：原规划来自附件；实现来自用户报告，待Codex以同一版本核对；预测数量不作强制指标。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4" t="str">
        <x:v>URL</x:v>
      </x:c>
      <x:c r="B4" s="14" t="str">
        <x:v>类型</x:v>
      </x:c>
      <x:c r="C4" s="14" t="str">
        <x:v>批次</x:v>
      </x:c>
      <x:c r="D4" s="14" t="str">
        <x:v>属于原127</x:v>
      </x:c>
      <x:c r="E4" s="14" t="str">
        <x:v>原ID</x:v>
      </x:c>
      <x:c r="F4" s="14" t="str">
        <x:v>原代表词</x:v>
      </x:c>
      <x:c r="G4" s="14" t="str">
        <x:v>原US量</x:v>
      </x:c>
      <x:c r="H4" s="14" t="str">
        <x:v>实现证据</x:v>
      </x:c>
      <x:c r="I4" s="14" t="str">
        <x:v>部署证据</x:v>
      </x:c>
      <x:c r="J4" s="14" t="str">
        <x:v>动作</x:v>
      </x:c>
    </x:row>
    <x:row r="5" ht="44" customHeight="1">
      <x:c r="A5" s="22" t="str">
        <x:v>/chord-progressions</x:v>
      </x:c>
      <x:c r="B5" s="22" t="str">
        <x:v>support</x:v>
      </x:c>
      <x:c r="C5" s="22" t="str">
        <x:v>original15</x:v>
      </x:c>
      <x:c r="D5" s="23" t="b">
        <x:v>1</x:v>
      </x:c>
      <x:c r="E5" s="22" t="str">
        <x:v>U087</x:v>
      </x:c>
      <x:c r="F5" s="22" t="str">
        <x:v>piano chord progressions</x:v>
      </x:c>
      <x:c r="G5" s="22" t="n">
        <x:v>1600</x:v>
      </x:c>
      <x:c r="H5" s="22" t="str">
        <x:v>reported_implemented</x:v>
      </x:c>
      <x:c r="I5" s="22" t="str">
        <x:v>not_independently_verified</x:v>
      </x:c>
      <x:c r="J5" s="22" t="str">
        <x:v>preserve_URL_and_correct_content</x:v>
      </x:c>
    </x:row>
    <x:row r="6" ht="44" customHeight="1">
      <x:c r="A6" s="22" t="str">
        <x:v>/chords</x:v>
      </x:c>
      <x:c r="B6" s="22" t="str">
        <x:v>support</x:v>
      </x:c>
      <x:c r="C6" s="22" t="str">
        <x:v>original15</x:v>
      </x:c>
      <x:c r="D6" s="23" t="b">
        <x:v>1</x:v>
      </x:c>
      <x:c r="E6" s="22" t="str">
        <x:v>U075</x:v>
      </x:c>
      <x:c r="F6" s="22" t="str">
        <x:v>piano chord chart</x:v>
      </x:c>
      <x:c r="G6" s="22" t="n">
        <x:v>6600</x:v>
      </x:c>
      <x:c r="H6" s="22" t="str">
        <x:v>reported_implemented</x:v>
      </x:c>
      <x:c r="I6" s="22" t="str">
        <x:v>not_independently_verified</x:v>
      </x:c>
      <x:c r="J6" s="22" t="str">
        <x:v>preserve_URL_and_correct_content</x:v>
      </x:c>
    </x:row>
    <x:row r="7" ht="44" customHeight="1">
      <x:c r="A7" s="22" t="str">
        <x:v>/chords/a-7</x:v>
      </x:c>
      <x:c r="B7" s="22" t="str">
        <x:v>detail</x:v>
      </x:c>
      <x:c r="C7" s="22" t="str">
        <x:v>N2C</x:v>
      </x:c>
      <x:c r="D7" s="23" t="b">
        <x:v>0</x:v>
      </x:c>
      <x:c r="E7" s="22"/>
      <x:c r="F7" s="22"/>
      <x:c r="G7" s="22"/>
      <x:c r="H7" s="22" t="str">
        <x:v>reported_implemented</x:v>
      </x:c>
      <x:c r="I7" s="22" t="str">
        <x:v>not_independently_verified</x:v>
      </x:c>
      <x:c r="J7" s="22" t="str">
        <x:v>preserve_URL_and_correct_content</x:v>
      </x:c>
    </x:row>
    <x:row r="8" ht="44" customHeight="1">
      <x:c r="A8" s="22" t="str">
        <x:v>/chords/a-add9</x:v>
      </x:c>
      <x:c r="B8" s="22" t="str">
        <x:v>detail</x:v>
      </x:c>
      <x:c r="C8" s="22" t="str">
        <x:v>N2D_v2</x:v>
      </x:c>
      <x:c r="D8" s="23" t="b">
        <x:v>0</x:v>
      </x:c>
      <x:c r="E8" s="22"/>
      <x:c r="F8" s="22"/>
      <x:c r="G8" s="22"/>
      <x:c r="H8" s="22" t="str">
        <x:v>reported_implemented</x:v>
      </x:c>
      <x:c r="I8" s="22" t="str">
        <x:v>not_independently_verified</x:v>
      </x:c>
      <x:c r="J8" s="22" t="str">
        <x:v>preserve_URL_and_correct_content</x:v>
      </x:c>
    </x:row>
    <x:row r="9" ht="44" customHeight="1">
      <x:c r="A9" s="22" t="str">
        <x:v>/chords/a-augmented</x:v>
      </x:c>
      <x:c r="B9" s="22" t="str">
        <x:v>detail</x:v>
      </x:c>
      <x:c r="C9" s="22" t="str">
        <x:v>N2B</x:v>
      </x:c>
      <x:c r="D9" s="23" t="b">
        <x:v>0</x:v>
      </x:c>
      <x:c r="E9" s="22"/>
      <x:c r="F9" s="22"/>
      <x:c r="G9" s="22"/>
      <x:c r="H9" s="22" t="str">
        <x:v>reported_implemented</x:v>
      </x:c>
      <x:c r="I9" s="22" t="str">
        <x:v>not_independently_verified</x:v>
      </x:c>
      <x:c r="J9" s="22" t="str">
        <x:v>preserve_URL_and_correct_content</x:v>
      </x:c>
    </x:row>
    <x:row r="10" ht="44" customHeight="1">
      <x:c r="A10" s="22" t="str">
        <x:v>/chords/a-diminished</x:v>
      </x:c>
      <x:c r="B10" s="22" t="str">
        <x:v>detail</x:v>
      </x:c>
      <x:c r="C10" s="22" t="str">
        <x:v>N2B</x:v>
      </x:c>
      <x:c r="D10" s="23" t="b">
        <x:v>0</x:v>
      </x:c>
      <x:c r="E10" s="22"/>
      <x:c r="F10" s="22"/>
      <x:c r="G10" s="22"/>
      <x:c r="H10" s="22" t="str">
        <x:v>reported_implemented</x:v>
      </x:c>
      <x:c r="I10" s="22" t="str">
        <x:v>not_independently_verified</x:v>
      </x:c>
      <x:c r="J10" s="22" t="str">
        <x:v>preserve_URL_and_correct_content</x:v>
      </x:c>
    </x:row>
    <x:row r="11" ht="44" customHeight="1">
      <x:c r="A11" s="22" t="str">
        <x:v>/chords/a-flat-7</x:v>
      </x:c>
      <x:c r="B11" s="22" t="str">
        <x:v>detail</x:v>
      </x:c>
      <x:c r="C11" s="22" t="str">
        <x:v>N2C</x:v>
      </x:c>
      <x:c r="D11" s="23" t="b">
        <x:v>0</x:v>
      </x:c>
      <x:c r="E11" s="22"/>
      <x:c r="F11" s="22"/>
      <x:c r="G11" s="22"/>
      <x:c r="H11" s="22" t="str">
        <x:v>reported_implemented</x:v>
      </x:c>
      <x:c r="I11" s="22" t="str">
        <x:v>not_independently_verified</x:v>
      </x:c>
      <x:c r="J11" s="22" t="str">
        <x:v>preserve_URL_and_correct_content</x:v>
      </x:c>
    </x:row>
    <x:row r="12" ht="44" customHeight="1">
      <x:c r="A12" s="22" t="str">
        <x:v>/chords/a-flat-add9</x:v>
      </x:c>
      <x:c r="B12" s="22" t="str">
        <x:v>detail</x:v>
      </x:c>
      <x:c r="C12" s="22" t="str">
        <x:v>N2D_v2</x:v>
      </x:c>
      <x:c r="D12" s="23" t="b">
        <x:v>0</x:v>
      </x:c>
      <x:c r="E12" s="22"/>
      <x:c r="F12" s="22"/>
      <x:c r="G12" s="22"/>
      <x:c r="H12" s="22" t="str">
        <x:v>reported_implemented</x:v>
      </x:c>
      <x:c r="I12" s="22" t="str">
        <x:v>not_independently_verified</x:v>
      </x:c>
      <x:c r="J12" s="22" t="str">
        <x:v>preserve_URL_and_correct_content</x:v>
      </x:c>
    </x:row>
    <x:row r="13" ht="44" customHeight="1">
      <x:c r="A13" s="22" t="str">
        <x:v>/chords/a-flat-augmented</x:v>
      </x:c>
      <x:c r="B13" s="22" t="str">
        <x:v>detail</x:v>
      </x:c>
      <x:c r="C13" s="22" t="str">
        <x:v>N2B</x:v>
      </x:c>
      <x:c r="D13" s="23" t="b">
        <x:v>0</x:v>
      </x:c>
      <x:c r="E13" s="22"/>
      <x:c r="F13" s="22"/>
      <x:c r="G13" s="22"/>
      <x:c r="H13" s="22" t="str">
        <x:v>reported_implemented</x:v>
      </x:c>
      <x:c r="I13" s="22" t="str">
        <x:v>not_independently_verified</x:v>
      </x:c>
      <x:c r="J13" s="22" t="str">
        <x:v>preserve_URL_and_correct_content</x:v>
      </x:c>
    </x:row>
    <x:row r="14" ht="44" customHeight="1">
      <x:c r="A14" s="22" t="str">
        <x:v>/chords/a-flat-diminished</x:v>
      </x:c>
      <x:c r="B14" s="22" t="str">
        <x:v>detail</x:v>
      </x:c>
      <x:c r="C14" s="22" t="str">
        <x:v>N2B</x:v>
      </x:c>
      <x:c r="D14" s="23" t="b">
        <x:v>0</x:v>
      </x:c>
      <x:c r="E14" s="22"/>
      <x:c r="F14" s="22"/>
      <x:c r="G14" s="22"/>
      <x:c r="H14" s="22" t="str">
        <x:v>reported_implemented</x:v>
      </x:c>
      <x:c r="I14" s="22" t="str">
        <x:v>not_independently_verified</x:v>
      </x:c>
      <x:c r="J14" s="22" t="str">
        <x:v>preserve_URL_and_correct_content</x:v>
      </x:c>
    </x:row>
    <x:row r="15" ht="44" customHeight="1">
      <x:c r="A15" s="22" t="str">
        <x:v>/chords/a-flat-m7</x:v>
      </x:c>
      <x:c r="B15" s="22" t="str">
        <x:v>detail</x:v>
      </x:c>
      <x:c r="C15" s="22" t="str">
        <x:v>N2C</x:v>
      </x:c>
      <x:c r="D15" s="23" t="b">
        <x:v>0</x:v>
      </x:c>
      <x:c r="E15" s="22"/>
      <x:c r="F15" s="22"/>
      <x:c r="G15" s="22"/>
      <x:c r="H15" s="22" t="str">
        <x:v>reported_implemented</x:v>
      </x:c>
      <x:c r="I15" s="22" t="str">
        <x:v>not_independently_verified</x:v>
      </x:c>
      <x:c r="J15" s="22" t="str">
        <x:v>preserve_URL_and_correct_content</x:v>
      </x:c>
    </x:row>
    <x:row r="16" ht="44" customHeight="1">
      <x:c r="A16" s="22" t="str">
        <x:v>/chords/a-flat-m7-flat5</x:v>
      </x:c>
      <x:c r="B16" s="22" t="str">
        <x:v>detail</x:v>
      </x:c>
      <x:c r="C16" s="22" t="str">
        <x:v>N2C</x:v>
      </x:c>
      <x:c r="D16" s="23" t="b">
        <x:v>0</x:v>
      </x:c>
      <x:c r="E16" s="22"/>
      <x:c r="F16" s="22"/>
      <x:c r="G16" s="22"/>
      <x:c r="H16" s="22" t="str">
        <x:v>reported_implemented</x:v>
      </x:c>
      <x:c r="I16" s="22" t="str">
        <x:v>not_independently_verified</x:v>
      </x:c>
      <x:c r="J16" s="22" t="str">
        <x:v>preserve_URL_and_correct_content</x:v>
      </x:c>
    </x:row>
    <x:row r="17" ht="44" customHeight="1">
      <x:c r="A17" s="22" t="str">
        <x:v>/chords/a-flat-madd9</x:v>
      </x:c>
      <x:c r="B17" s="22" t="str">
        <x:v>detail</x:v>
      </x:c>
      <x:c r="C17" s="22" t="str">
        <x:v>N2D_v2</x:v>
      </x:c>
      <x:c r="D17" s="23" t="b">
        <x:v>0</x:v>
      </x:c>
      <x:c r="E17" s="22"/>
      <x:c r="F17" s="22"/>
      <x:c r="G17" s="22"/>
      <x:c r="H17" s="22" t="str">
        <x:v>reported_implemented</x:v>
      </x:c>
      <x:c r="I17" s="22" t="str">
        <x:v>not_independently_verified</x:v>
      </x:c>
      <x:c r="J17" s="22" t="str">
        <x:v>preserve_URL_and_correct_content</x:v>
      </x:c>
    </x:row>
    <x:row r="18" ht="44" customHeight="1">
      <x:c r="A18" s="22" t="str">
        <x:v>/chords/a-flat-maj7</x:v>
      </x:c>
      <x:c r="B18" s="22" t="str">
        <x:v>detail</x:v>
      </x:c>
      <x:c r="C18" s="22" t="str">
        <x:v>N2C</x:v>
      </x:c>
      <x:c r="D18" s="23" t="b">
        <x:v>0</x:v>
      </x:c>
      <x:c r="E18" s="22"/>
      <x:c r="F18" s="22"/>
      <x:c r="G18" s="22"/>
      <x:c r="H18" s="22" t="str">
        <x:v>reported_implemented</x:v>
      </x:c>
      <x:c r="I18" s="22" t="str">
        <x:v>not_independently_verified</x:v>
      </x:c>
      <x:c r="J18" s="22" t="str">
        <x:v>preserve_URL_and_correct_content</x:v>
      </x:c>
    </x:row>
    <x:row r="19" ht="44" customHeight="1">
      <x:c r="A19" s="22" t="str">
        <x:v>/chords/a-flat-major</x:v>
      </x:c>
      <x:c r="B19" s="22" t="str">
        <x:v>detail</x:v>
      </x:c>
      <x:c r="C19" s="22" t="str">
        <x:v>original15</x:v>
      </x:c>
      <x:c r="D19" s="23" t="b">
        <x:v>1</x:v>
      </x:c>
      <x:c r="E19" s="22" t="str">
        <x:v>U079</x:v>
      </x:c>
      <x:c r="F19" s="22" t="str">
        <x:v>a flat chord piano</x:v>
      </x:c>
      <x:c r="G19" s="22" t="n">
        <x:v>1000</x:v>
      </x:c>
      <x:c r="H19" s="22" t="str">
        <x:v>reported_implemented</x:v>
      </x:c>
      <x:c r="I19" s="22" t="str">
        <x:v>not_independently_verified</x:v>
      </x:c>
      <x:c r="J19" s="22" t="str">
        <x:v>preserve_URL_and_correct_content</x:v>
      </x:c>
    </x:row>
    <x:row r="20" ht="44" customHeight="1">
      <x:c r="A20" s="22" t="str">
        <x:v>/chords/a-flat-sus2</x:v>
      </x:c>
      <x:c r="B20" s="22" t="str">
        <x:v>detail</x:v>
      </x:c>
      <x:c r="C20" s="22" t="str">
        <x:v>N2B</x:v>
      </x:c>
      <x:c r="D20" s="23" t="b">
        <x:v>0</x:v>
      </x:c>
      <x:c r="E20" s="22"/>
      <x:c r="F20" s="22"/>
      <x:c r="G20" s="22"/>
      <x:c r="H20" s="22" t="str">
        <x:v>reported_implemented</x:v>
      </x:c>
      <x:c r="I20" s="22" t="str">
        <x:v>not_independently_verified</x:v>
      </x:c>
      <x:c r="J20" s="22" t="str">
        <x:v>preserve_URL_and_correct_content</x:v>
      </x:c>
    </x:row>
    <x:row r="21" ht="44" customHeight="1">
      <x:c r="A21" s="22" t="str">
        <x:v>/chords/a-flat-sus4</x:v>
      </x:c>
      <x:c r="B21" s="22" t="str">
        <x:v>detail</x:v>
      </x:c>
      <x:c r="C21" s="22" t="str">
        <x:v>N2B</x:v>
      </x:c>
      <x:c r="D21" s="23" t="b">
        <x:v>0</x:v>
      </x:c>
      <x:c r="E21" s="22"/>
      <x:c r="F21" s="22"/>
      <x:c r="G21" s="22"/>
      <x:c r="H21" s="22" t="str">
        <x:v>reported_implemented</x:v>
      </x:c>
      <x:c r="I21" s="22" t="str">
        <x:v>not_independently_verified</x:v>
      </x:c>
      <x:c r="J21" s="22" t="str">
        <x:v>preserve_URL_and_correct_content</x:v>
      </x:c>
    </x:row>
    <x:row r="22" ht="44" customHeight="1">
      <x:c r="A22" s="22" t="str">
        <x:v>/chords/a-m7</x:v>
      </x:c>
      <x:c r="B22" s="22" t="str">
        <x:v>detail</x:v>
      </x:c>
      <x:c r="C22" s="22" t="str">
        <x:v>N2C</x:v>
      </x:c>
      <x:c r="D22" s="23" t="b">
        <x:v>0</x:v>
      </x:c>
      <x:c r="E22" s="22"/>
      <x:c r="F22" s="22"/>
      <x:c r="G22" s="22"/>
      <x:c r="H22" s="22" t="str">
        <x:v>reported_implemented</x:v>
      </x:c>
      <x:c r="I22" s="22" t="str">
        <x:v>not_independently_verified</x:v>
      </x:c>
      <x:c r="J22" s="22" t="str">
        <x:v>preserve_URL_and_correct_content</x:v>
      </x:c>
    </x:row>
    <x:row r="23" ht="44" customHeight="1">
      <x:c r="A23" s="22" t="str">
        <x:v>/chords/a-m7-flat5</x:v>
      </x:c>
      <x:c r="B23" s="22" t="str">
        <x:v>detail</x:v>
      </x:c>
      <x:c r="C23" s="22" t="str">
        <x:v>N2C</x:v>
      </x:c>
      <x:c r="D23" s="23" t="b">
        <x:v>0</x:v>
      </x:c>
      <x:c r="E23" s="22"/>
      <x:c r="F23" s="22"/>
      <x:c r="G23" s="22"/>
      <x:c r="H23" s="22" t="str">
        <x:v>reported_implemented</x:v>
      </x:c>
      <x:c r="I23" s="22" t="str">
        <x:v>not_independently_verified</x:v>
      </x:c>
      <x:c r="J23" s="22" t="str">
        <x:v>preserve_URL_and_correct_content</x:v>
      </x:c>
    </x:row>
    <x:row r="24" ht="44" customHeight="1">
      <x:c r="A24" s="22" t="str">
        <x:v>/chords/a-madd9</x:v>
      </x:c>
      <x:c r="B24" s="22" t="str">
        <x:v>detail</x:v>
      </x:c>
      <x:c r="C24" s="22" t="str">
        <x:v>N2D_v2</x:v>
      </x:c>
      <x:c r="D24" s="23" t="b">
        <x:v>0</x:v>
      </x:c>
      <x:c r="E24" s="22"/>
      <x:c r="F24" s="22"/>
      <x:c r="G24" s="22"/>
      <x:c r="H24" s="22" t="str">
        <x:v>reported_implemented</x:v>
      </x:c>
      <x:c r="I24" s="22" t="str">
        <x:v>not_independently_verified</x:v>
      </x:c>
      <x:c r="J24" s="22" t="str">
        <x:v>preserve_URL_and_correct_content</x:v>
      </x:c>
    </x:row>
    <x:row r="25" ht="44" customHeight="1">
      <x:c r="A25" s="22" t="str">
        <x:v>/chords/a-maj7</x:v>
      </x:c>
      <x:c r="B25" s="22" t="str">
        <x:v>detail</x:v>
      </x:c>
      <x:c r="C25" s="22" t="str">
        <x:v>N2C</x:v>
      </x:c>
      <x:c r="D25" s="23" t="b">
        <x:v>0</x:v>
      </x:c>
      <x:c r="E25" s="22"/>
      <x:c r="F25" s="22"/>
      <x:c r="G25" s="22"/>
      <x:c r="H25" s="22" t="str">
        <x:v>reported_implemented</x:v>
      </x:c>
      <x:c r="I25" s="22" t="str">
        <x:v>not_independently_verified</x:v>
      </x:c>
      <x:c r="J25" s="22" t="str">
        <x:v>preserve_URL_and_correct_content</x:v>
      </x:c>
    </x:row>
    <x:row r="26" ht="44" customHeight="1">
      <x:c r="A26" s="22" t="str">
        <x:v>/chords/a-major</x:v>
      </x:c>
      <x:c r="B26" s="22" t="str">
        <x:v>detail</x:v>
      </x:c>
      <x:c r="C26" s="22" t="str">
        <x:v>original15</x:v>
      </x:c>
      <x:c r="D26" s="23" t="b">
        <x:v>1</x:v>
      </x:c>
      <x:c r="E26" s="22" t="str">
        <x:v>U076</x:v>
      </x:c>
      <x:c r="F26" s="22" t="str">
        <x:v>a chord piano</x:v>
      </x:c>
      <x:c r="G26" s="22" t="n">
        <x:v>4400</x:v>
      </x:c>
      <x:c r="H26" s="22" t="str">
        <x:v>reported_implemented</x:v>
      </x:c>
      <x:c r="I26" s="22" t="str">
        <x:v>not_independently_verified</x:v>
      </x:c>
      <x:c r="J26" s="22" t="str">
        <x:v>preserve_URL_and_correct_content</x:v>
      </x:c>
    </x:row>
    <x:row r="27" ht="44" customHeight="1">
      <x:c r="A27" s="22" t="str">
        <x:v>/chords/a-minor</x:v>
      </x:c>
      <x:c r="B27" s="22" t="str">
        <x:v>detail</x:v>
      </x:c>
      <x:c r="C27" s="22" t="str">
        <x:v>original15</x:v>
      </x:c>
      <x:c r="D27" s="23" t="b">
        <x:v>1</x:v>
      </x:c>
      <x:c r="E27" s="22" t="str">
        <x:v>U078</x:v>
      </x:c>
      <x:c r="F27" s="22" t="str">
        <x:v>am piano chord</x:v>
      </x:c>
      <x:c r="G27" s="22" t="n">
        <x:v>1900</x:v>
      </x:c>
      <x:c r="H27" s="22" t="str">
        <x:v>reported_implemented</x:v>
      </x:c>
      <x:c r="I27" s="22" t="str">
        <x:v>not_independently_verified</x:v>
      </x:c>
      <x:c r="J27" s="22" t="str">
        <x:v>preserve_URL_and_correct_content</x:v>
      </x:c>
    </x:row>
    <x:row r="28" ht="44" customHeight="1">
      <x:c r="A28" s="22" t="str">
        <x:v>/chords/a-sus2</x:v>
      </x:c>
      <x:c r="B28" s="22" t="str">
        <x:v>detail</x:v>
      </x:c>
      <x:c r="C28" s="22" t="str">
        <x:v>N2B</x:v>
      </x:c>
      <x:c r="D28" s="23" t="b">
        <x:v>0</x:v>
      </x:c>
      <x:c r="E28" s="22"/>
      <x:c r="F28" s="22"/>
      <x:c r="G28" s="22"/>
      <x:c r="H28" s="22" t="str">
        <x:v>reported_implemented</x:v>
      </x:c>
      <x:c r="I28" s="22" t="str">
        <x:v>not_independently_verified</x:v>
      </x:c>
      <x:c r="J28" s="22" t="str">
        <x:v>preserve_URL_and_correct_content</x:v>
      </x:c>
    </x:row>
    <x:row r="29" ht="44" customHeight="1">
      <x:c r="A29" s="22" t="str">
        <x:v>/chords/a-sus4</x:v>
      </x:c>
      <x:c r="B29" s="22" t="str">
        <x:v>detail</x:v>
      </x:c>
      <x:c r="C29" s="22" t="str">
        <x:v>N2B</x:v>
      </x:c>
      <x:c r="D29" s="23" t="b">
        <x:v>0</x:v>
      </x:c>
      <x:c r="E29" s="22"/>
      <x:c r="F29" s="22"/>
      <x:c r="G29" s="22"/>
      <x:c r="H29" s="22" t="str">
        <x:v>reported_implemented</x:v>
      </x:c>
      <x:c r="I29" s="22" t="str">
        <x:v>not_independently_verified</x:v>
      </x:c>
      <x:c r="J29" s="22" t="str">
        <x:v>preserve_URL_and_correct_content</x:v>
      </x:c>
    </x:row>
    <x:row r="30" ht="44" customHeight="1">
      <x:c r="A30" s="22" t="str">
        <x:v>/chords/add</x:v>
      </x:c>
      <x:c r="B30" s="22" t="str">
        <x:v>category</x:v>
      </x:c>
      <x:c r="C30" s="22" t="str">
        <x:v>N2D_v2</x:v>
      </x:c>
      <x:c r="D30" s="23" t="b">
        <x:v>0</x:v>
      </x:c>
      <x:c r="E30" s="22"/>
      <x:c r="F30" s="22"/>
      <x:c r="G30" s="22"/>
      <x:c r="H30" s="22" t="str">
        <x:v>reported_implemented</x:v>
      </x:c>
      <x:c r="I30" s="22" t="str">
        <x:v>not_independently_verified</x:v>
      </x:c>
      <x:c r="J30" s="22" t="str">
        <x:v>preserve_URL_and_correct_content</x:v>
      </x:c>
    </x:row>
    <x:row r="31" ht="44" customHeight="1">
      <x:c r="A31" s="22" t="str">
        <x:v>/chords/augmented</x:v>
      </x:c>
      <x:c r="B31" s="22" t="str">
        <x:v>category</x:v>
      </x:c>
      <x:c r="C31" s="22" t="str">
        <x:v>N2B</x:v>
      </x:c>
      <x:c r="D31" s="23" t="b">
        <x:v>0</x:v>
      </x:c>
      <x:c r="E31" s="22"/>
      <x:c r="F31" s="22"/>
      <x:c r="G31" s="22"/>
      <x:c r="H31" s="22" t="str">
        <x:v>reported_implemented</x:v>
      </x:c>
      <x:c r="I31" s="22" t="str">
        <x:v>not_independently_verified</x:v>
      </x:c>
      <x:c r="J31" s="22" t="str">
        <x:v>preserve_URL_and_correct_content</x:v>
      </x:c>
    </x:row>
    <x:row r="32" ht="44" customHeight="1">
      <x:c r="A32" s="22" t="str">
        <x:v>/chords/b-7</x:v>
      </x:c>
      <x:c r="B32" s="22" t="str">
        <x:v>detail</x:v>
      </x:c>
      <x:c r="C32" s="22" t="str">
        <x:v>N2C</x:v>
      </x:c>
      <x:c r="D32" s="23" t="b">
        <x:v>0</x:v>
      </x:c>
      <x:c r="E32" s="22"/>
      <x:c r="F32" s="22"/>
      <x:c r="G32" s="22"/>
      <x:c r="H32" s="22" t="str">
        <x:v>reported_implemented</x:v>
      </x:c>
      <x:c r="I32" s="22" t="str">
        <x:v>not_independently_verified</x:v>
      </x:c>
      <x:c r="J32" s="22" t="str">
        <x:v>preserve_URL_and_correct_content</x:v>
      </x:c>
    </x:row>
    <x:row r="33" ht="44" customHeight="1">
      <x:c r="A33" s="22" t="str">
        <x:v>/chords/b-add9</x:v>
      </x:c>
      <x:c r="B33" s="22" t="str">
        <x:v>detail</x:v>
      </x:c>
      <x:c r="C33" s="22" t="str">
        <x:v>N2D_v2</x:v>
      </x:c>
      <x:c r="D33" s="23" t="b">
        <x:v>0</x:v>
      </x:c>
      <x:c r="E33" s="22"/>
      <x:c r="F33" s="22"/>
      <x:c r="G33" s="22"/>
      <x:c r="H33" s="22" t="str">
        <x:v>reported_implemented</x:v>
      </x:c>
      <x:c r="I33" s="22" t="str">
        <x:v>not_independently_verified</x:v>
      </x:c>
      <x:c r="J33" s="22" t="str">
        <x:v>preserve_URL_and_correct_content</x:v>
      </x:c>
    </x:row>
    <x:row r="34" ht="44" customHeight="1">
      <x:c r="A34" s="22" t="str">
        <x:v>/chords/b-augmented</x:v>
      </x:c>
      <x:c r="B34" s="22" t="str">
        <x:v>detail</x:v>
      </x:c>
      <x:c r="C34" s="22" t="str">
        <x:v>N2B</x:v>
      </x:c>
      <x:c r="D34" s="23" t="b">
        <x:v>0</x:v>
      </x:c>
      <x:c r="E34" s="22"/>
      <x:c r="F34" s="22"/>
      <x:c r="G34" s="22"/>
      <x:c r="H34" s="22" t="str">
        <x:v>reported_implemented</x:v>
      </x:c>
      <x:c r="I34" s="22" t="str">
        <x:v>not_independently_verified</x:v>
      </x:c>
      <x:c r="J34" s="22" t="str">
        <x:v>preserve_URL_and_correct_content</x:v>
      </x:c>
    </x:row>
    <x:row r="35" ht="44" customHeight="1">
      <x:c r="A35" s="22" t="str">
        <x:v>/chords/b-diminished</x:v>
      </x:c>
      <x:c r="B35" s="22" t="str">
        <x:v>detail</x:v>
      </x:c>
      <x:c r="C35" s="22" t="str">
        <x:v>N2B</x:v>
      </x:c>
      <x:c r="D35" s="23" t="b">
        <x:v>0</x:v>
      </x:c>
      <x:c r="E35" s="22"/>
      <x:c r="F35" s="22"/>
      <x:c r="G35" s="22"/>
      <x:c r="H35" s="22" t="str">
        <x:v>reported_implemented</x:v>
      </x:c>
      <x:c r="I35" s="22" t="str">
        <x:v>not_independently_verified</x:v>
      </x:c>
      <x:c r="J35" s="22" t="str">
        <x:v>preserve_URL_and_correct_content</x:v>
      </x:c>
    </x:row>
    <x:row r="36" ht="44" customHeight="1">
      <x:c r="A36" s="22" t="str">
        <x:v>/chords/b-flat-7</x:v>
      </x:c>
      <x:c r="B36" s="22" t="str">
        <x:v>detail</x:v>
      </x:c>
      <x:c r="C36" s="22" t="str">
        <x:v>N2C</x:v>
      </x:c>
      <x:c r="D36" s="23" t="b">
        <x:v>0</x:v>
      </x:c>
      <x:c r="E36" s="22"/>
      <x:c r="F36" s="22"/>
      <x:c r="G36" s="22"/>
      <x:c r="H36" s="22" t="str">
        <x:v>reported_implemented</x:v>
      </x:c>
      <x:c r="I36" s="22" t="str">
        <x:v>not_independently_verified</x:v>
      </x:c>
      <x:c r="J36" s="22" t="str">
        <x:v>preserve_URL_and_correct_content</x:v>
      </x:c>
    </x:row>
    <x:row r="37" ht="44" customHeight="1">
      <x:c r="A37" s="22" t="str">
        <x:v>/chords/b-flat-add9</x:v>
      </x:c>
      <x:c r="B37" s="22" t="str">
        <x:v>detail</x:v>
      </x:c>
      <x:c r="C37" s="22" t="str">
        <x:v>N2D_v2</x:v>
      </x:c>
      <x:c r="D37" s="23" t="b">
        <x:v>0</x:v>
      </x:c>
      <x:c r="E37" s="22"/>
      <x:c r="F37" s="22"/>
      <x:c r="G37" s="22"/>
      <x:c r="H37" s="22" t="str">
        <x:v>reported_implemented</x:v>
      </x:c>
      <x:c r="I37" s="22" t="str">
        <x:v>not_independently_verified</x:v>
      </x:c>
      <x:c r="J37" s="22" t="str">
        <x:v>preserve_URL_and_correct_content</x:v>
      </x:c>
    </x:row>
    <x:row r="38" ht="44" customHeight="1">
      <x:c r="A38" s="22" t="str">
        <x:v>/chords/b-flat-augmented</x:v>
      </x:c>
      <x:c r="B38" s="22" t="str">
        <x:v>detail</x:v>
      </x:c>
      <x:c r="C38" s="22" t="str">
        <x:v>N2B</x:v>
      </x:c>
      <x:c r="D38" s="23" t="b">
        <x:v>0</x:v>
      </x:c>
      <x:c r="E38" s="22"/>
      <x:c r="F38" s="22"/>
      <x:c r="G38" s="22"/>
      <x:c r="H38" s="22" t="str">
        <x:v>reported_implemented</x:v>
      </x:c>
      <x:c r="I38" s="22" t="str">
        <x:v>not_independently_verified</x:v>
      </x:c>
      <x:c r="J38" s="22" t="str">
        <x:v>preserve_URL_and_correct_content</x:v>
      </x:c>
    </x:row>
    <x:row r="39" ht="44" customHeight="1">
      <x:c r="A39" s="22" t="str">
        <x:v>/chords/b-flat-diminished</x:v>
      </x:c>
      <x:c r="B39" s="22" t="str">
        <x:v>detail</x:v>
      </x:c>
      <x:c r="C39" s="22" t="str">
        <x:v>N2B</x:v>
      </x:c>
      <x:c r="D39" s="23" t="b">
        <x:v>0</x:v>
      </x:c>
      <x:c r="E39" s="22"/>
      <x:c r="F39" s="22"/>
      <x:c r="G39" s="22"/>
      <x:c r="H39" s="22" t="str">
        <x:v>reported_implemented</x:v>
      </x:c>
      <x:c r="I39" s="22" t="str">
        <x:v>not_independently_verified</x:v>
      </x:c>
      <x:c r="J39" s="22" t="str">
        <x:v>preserve_URL_and_correct_content</x:v>
      </x:c>
    </x:row>
    <x:row r="40" ht="44" customHeight="1">
      <x:c r="A40" s="22" t="str">
        <x:v>/chords/b-flat-m7</x:v>
      </x:c>
      <x:c r="B40" s="22" t="str">
        <x:v>detail</x:v>
      </x:c>
      <x:c r="C40" s="22" t="str">
        <x:v>N2C</x:v>
      </x:c>
      <x:c r="D40" s="23" t="b">
        <x:v>0</x:v>
      </x:c>
      <x:c r="E40" s="22"/>
      <x:c r="F40" s="22"/>
      <x:c r="G40" s="22"/>
      <x:c r="H40" s="22" t="str">
        <x:v>reported_implemented</x:v>
      </x:c>
      <x:c r="I40" s="22" t="str">
        <x:v>not_independently_verified</x:v>
      </x:c>
      <x:c r="J40" s="22" t="str">
        <x:v>preserve_URL_and_correct_content</x:v>
      </x:c>
    </x:row>
    <x:row r="41" ht="44" customHeight="1">
      <x:c r="A41" s="22" t="str">
        <x:v>/chords/b-flat-m7-flat5</x:v>
      </x:c>
      <x:c r="B41" s="22" t="str">
        <x:v>detail</x:v>
      </x:c>
      <x:c r="C41" s="22" t="str">
        <x:v>N2C</x:v>
      </x:c>
      <x:c r="D41" s="23" t="b">
        <x:v>0</x:v>
      </x:c>
      <x:c r="E41" s="22"/>
      <x:c r="F41" s="22"/>
      <x:c r="G41" s="22"/>
      <x:c r="H41" s="22" t="str">
        <x:v>reported_implemented</x:v>
      </x:c>
      <x:c r="I41" s="22" t="str">
        <x:v>not_independently_verified</x:v>
      </x:c>
      <x:c r="J41" s="22" t="str">
        <x:v>preserve_URL_and_correct_content</x:v>
      </x:c>
    </x:row>
    <x:row r="42" ht="44" customHeight="1">
      <x:c r="A42" s="22" t="str">
        <x:v>/chords/b-flat-madd9</x:v>
      </x:c>
      <x:c r="B42" s="22" t="str">
        <x:v>detail</x:v>
      </x:c>
      <x:c r="C42" s="22" t="str">
        <x:v>N2D_v2</x:v>
      </x:c>
      <x:c r="D42" s="23" t="b">
        <x:v>0</x:v>
      </x:c>
      <x:c r="E42" s="22"/>
      <x:c r="F42" s="22"/>
      <x:c r="G42" s="22"/>
      <x:c r="H42" s="22" t="str">
        <x:v>reported_implemented</x:v>
      </x:c>
      <x:c r="I42" s="22" t="str">
        <x:v>not_independently_verified</x:v>
      </x:c>
      <x:c r="J42" s="22" t="str">
        <x:v>preserve_URL_and_correct_content</x:v>
      </x:c>
    </x:row>
    <x:row r="43" ht="44" customHeight="1">
      <x:c r="A43" s="22" t="str">
        <x:v>/chords/b-flat-maj7</x:v>
      </x:c>
      <x:c r="B43" s="22" t="str">
        <x:v>detail</x:v>
      </x:c>
      <x:c r="C43" s="22" t="str">
        <x:v>N2C</x:v>
      </x:c>
      <x:c r="D43" s="23" t="b">
        <x:v>0</x:v>
      </x:c>
      <x:c r="E43" s="22"/>
      <x:c r="F43" s="22"/>
      <x:c r="G43" s="22"/>
      <x:c r="H43" s="22" t="str">
        <x:v>reported_implemented</x:v>
      </x:c>
      <x:c r="I43" s="22" t="str">
        <x:v>not_independently_verified</x:v>
      </x:c>
      <x:c r="J43" s="22" t="str">
        <x:v>preserve_URL_and_correct_content</x:v>
      </x:c>
    </x:row>
    <x:row r="44" ht="44" customHeight="1">
      <x:c r="A44" s="22" t="str">
        <x:v>/chords/b-flat-major</x:v>
      </x:c>
      <x:c r="B44" s="22" t="str">
        <x:v>detail</x:v>
      </x:c>
      <x:c r="C44" s="22" t="str">
        <x:v>N1</x:v>
      </x:c>
      <x:c r="D44" s="23" t="b">
        <x:v>0</x:v>
      </x:c>
      <x:c r="E44" s="22"/>
      <x:c r="F44" s="22"/>
      <x:c r="G44" s="22"/>
      <x:c r="H44" s="22" t="str">
        <x:v>reported_implemented</x:v>
      </x:c>
      <x:c r="I44" s="22" t="str">
        <x:v>not_independently_verified</x:v>
      </x:c>
      <x:c r="J44" s="22" t="str">
        <x:v>preserve_URL_and_correct_content</x:v>
      </x:c>
    </x:row>
    <x:row r="45" ht="44" customHeight="1">
      <x:c r="A45" s="22" t="str">
        <x:v>/chords/b-flat-minor</x:v>
      </x:c>
      <x:c r="B45" s="22" t="str">
        <x:v>detail</x:v>
      </x:c>
      <x:c r="C45" s="22" t="str">
        <x:v>N1</x:v>
      </x:c>
      <x:c r="D45" s="23" t="b">
        <x:v>0</x:v>
      </x:c>
      <x:c r="E45" s="22"/>
      <x:c r="F45" s="22"/>
      <x:c r="G45" s="22"/>
      <x:c r="H45" s="22" t="str">
        <x:v>reported_implemented</x:v>
      </x:c>
      <x:c r="I45" s="22" t="str">
        <x:v>not_independently_verified</x:v>
      </x:c>
      <x:c r="J45" s="22" t="str">
        <x:v>preserve_URL_and_correct_content</x:v>
      </x:c>
    </x:row>
    <x:row r="46" ht="44" customHeight="1">
      <x:c r="A46" s="22" t="str">
        <x:v>/chords/b-flat-sus2</x:v>
      </x:c>
      <x:c r="B46" s="22" t="str">
        <x:v>detail</x:v>
      </x:c>
      <x:c r="C46" s="22" t="str">
        <x:v>N2B</x:v>
      </x:c>
      <x:c r="D46" s="23" t="b">
        <x:v>0</x:v>
      </x:c>
      <x:c r="E46" s="22"/>
      <x:c r="F46" s="22"/>
      <x:c r="G46" s="22"/>
      <x:c r="H46" s="22" t="str">
        <x:v>reported_implemented</x:v>
      </x:c>
      <x:c r="I46" s="22" t="str">
        <x:v>not_independently_verified</x:v>
      </x:c>
      <x:c r="J46" s="22" t="str">
        <x:v>preserve_URL_and_correct_content</x:v>
      </x:c>
    </x:row>
    <x:row r="47" ht="44" customHeight="1">
      <x:c r="A47" s="22" t="str">
        <x:v>/chords/b-flat-sus4</x:v>
      </x:c>
      <x:c r="B47" s="22" t="str">
        <x:v>detail</x:v>
      </x:c>
      <x:c r="C47" s="22" t="str">
        <x:v>N2B</x:v>
      </x:c>
      <x:c r="D47" s="23" t="b">
        <x:v>0</x:v>
      </x:c>
      <x:c r="E47" s="22"/>
      <x:c r="F47" s="22"/>
      <x:c r="G47" s="22"/>
      <x:c r="H47" s="22" t="str">
        <x:v>reported_implemented</x:v>
      </x:c>
      <x:c r="I47" s="22" t="str">
        <x:v>not_independently_verified</x:v>
      </x:c>
      <x:c r="J47" s="22" t="str">
        <x:v>preserve_URL_and_correct_content</x:v>
      </x:c>
    </x:row>
    <x:row r="48" ht="44" customHeight="1">
      <x:c r="A48" s="22" t="str">
        <x:v>/chords/b-m7</x:v>
      </x:c>
      <x:c r="B48" s="22" t="str">
        <x:v>detail</x:v>
      </x:c>
      <x:c r="C48" s="22" t="str">
        <x:v>N2C</x:v>
      </x:c>
      <x:c r="D48" s="23" t="b">
        <x:v>0</x:v>
      </x:c>
      <x:c r="E48" s="22"/>
      <x:c r="F48" s="22"/>
      <x:c r="G48" s="22"/>
      <x:c r="H48" s="22" t="str">
        <x:v>reported_implemented</x:v>
      </x:c>
      <x:c r="I48" s="22" t="str">
        <x:v>not_independently_verified</x:v>
      </x:c>
      <x:c r="J48" s="22" t="str">
        <x:v>preserve_URL_and_correct_content</x:v>
      </x:c>
    </x:row>
    <x:row r="49" ht="44" customHeight="1">
      <x:c r="A49" s="22" t="str">
        <x:v>/chords/b-m7-flat5</x:v>
      </x:c>
      <x:c r="B49" s="22" t="str">
        <x:v>detail</x:v>
      </x:c>
      <x:c r="C49" s="22" t="str">
        <x:v>N2C</x:v>
      </x:c>
      <x:c r="D49" s="23" t="b">
        <x:v>0</x:v>
      </x:c>
      <x:c r="E49" s="22"/>
      <x:c r="F49" s="22"/>
      <x:c r="G49" s="22"/>
      <x:c r="H49" s="22" t="str">
        <x:v>reported_implemented</x:v>
      </x:c>
      <x:c r="I49" s="22" t="str">
        <x:v>not_independently_verified</x:v>
      </x:c>
      <x:c r="J49" s="22" t="str">
        <x:v>preserve_URL_and_correct_content</x:v>
      </x:c>
    </x:row>
    <x:row r="50" ht="44" customHeight="1">
      <x:c r="A50" s="22" t="str">
        <x:v>/chords/b-madd9</x:v>
      </x:c>
      <x:c r="B50" s="22" t="str">
        <x:v>detail</x:v>
      </x:c>
      <x:c r="C50" s="22" t="str">
        <x:v>N2D_v2</x:v>
      </x:c>
      <x:c r="D50" s="23" t="b">
        <x:v>0</x:v>
      </x:c>
      <x:c r="E50" s="22"/>
      <x:c r="F50" s="22"/>
      <x:c r="G50" s="22"/>
      <x:c r="H50" s="22" t="str">
        <x:v>reported_implemented</x:v>
      </x:c>
      <x:c r="I50" s="22" t="str">
        <x:v>not_independently_verified</x:v>
      </x:c>
      <x:c r="J50" s="22" t="str">
        <x:v>preserve_URL_and_correct_content</x:v>
      </x:c>
    </x:row>
    <x:row r="51" ht="44" customHeight="1">
      <x:c r="A51" s="22" t="str">
        <x:v>/chords/b-maj7</x:v>
      </x:c>
      <x:c r="B51" s="22" t="str">
        <x:v>detail</x:v>
      </x:c>
      <x:c r="C51" s="22" t="str">
        <x:v>N2C</x:v>
      </x:c>
      <x:c r="D51" s="23" t="b">
        <x:v>0</x:v>
      </x:c>
      <x:c r="E51" s="22"/>
      <x:c r="F51" s="22"/>
      <x:c r="G51" s="22"/>
      <x:c r="H51" s="22" t="str">
        <x:v>reported_implemented</x:v>
      </x:c>
      <x:c r="I51" s="22" t="str">
        <x:v>not_independently_verified</x:v>
      </x:c>
      <x:c r="J51" s="22" t="str">
        <x:v>preserve_URL_and_correct_content</x:v>
      </x:c>
    </x:row>
    <x:row r="52" ht="44" customHeight="1">
      <x:c r="A52" s="22" t="str">
        <x:v>/chords/b-major</x:v>
      </x:c>
      <x:c r="B52" s="22" t="str">
        <x:v>detail</x:v>
      </x:c>
      <x:c r="C52" s="22" t="str">
        <x:v>original15</x:v>
      </x:c>
      <x:c r="D52" s="23" t="b">
        <x:v>1</x:v>
      </x:c>
      <x:c r="E52" s="22" t="str">
        <x:v>U077</x:v>
      </x:c>
      <x:c r="F52" s="22" t="str">
        <x:v>b chord piano</x:v>
      </x:c>
      <x:c r="G52" s="22" t="n">
        <x:v>3600</x:v>
      </x:c>
      <x:c r="H52" s="22" t="str">
        <x:v>reported_implemented</x:v>
      </x:c>
      <x:c r="I52" s="22" t="str">
        <x:v>not_independently_verified</x:v>
      </x:c>
      <x:c r="J52" s="22" t="str">
        <x:v>preserve_URL_and_correct_content</x:v>
      </x:c>
    </x:row>
    <x:row r="53" ht="44" customHeight="1">
      <x:c r="A53" s="22" t="str">
        <x:v>/chords/b-minor</x:v>
      </x:c>
      <x:c r="B53" s="22" t="str">
        <x:v>detail</x:v>
      </x:c>
      <x:c r="C53" s="22" t="str">
        <x:v>N1</x:v>
      </x:c>
      <x:c r="D53" s="23" t="b">
        <x:v>0</x:v>
      </x:c>
      <x:c r="E53" s="22"/>
      <x:c r="F53" s="22"/>
      <x:c r="G53" s="22"/>
      <x:c r="H53" s="22" t="str">
        <x:v>reported_implemented</x:v>
      </x:c>
      <x:c r="I53" s="22" t="str">
        <x:v>not_independently_verified</x:v>
      </x:c>
      <x:c r="J53" s="22" t="str">
        <x:v>preserve_URL_and_correct_content</x:v>
      </x:c>
    </x:row>
    <x:row r="54" ht="44" customHeight="1">
      <x:c r="A54" s="22" t="str">
        <x:v>/chords/b-sus2</x:v>
      </x:c>
      <x:c r="B54" s="22" t="str">
        <x:v>detail</x:v>
      </x:c>
      <x:c r="C54" s="22" t="str">
        <x:v>N2B</x:v>
      </x:c>
      <x:c r="D54" s="23" t="b">
        <x:v>0</x:v>
      </x:c>
      <x:c r="E54" s="22"/>
      <x:c r="F54" s="22"/>
      <x:c r="G54" s="22"/>
      <x:c r="H54" s="22" t="str">
        <x:v>reported_implemented</x:v>
      </x:c>
      <x:c r="I54" s="22" t="str">
        <x:v>not_independently_verified</x:v>
      </x:c>
      <x:c r="J54" s="22" t="str">
        <x:v>preserve_URL_and_correct_content</x:v>
      </x:c>
    </x:row>
    <x:row r="55" ht="44" customHeight="1">
      <x:c r="A55" s="22" t="str">
        <x:v>/chords/b-sus4</x:v>
      </x:c>
      <x:c r="B55" s="22" t="str">
        <x:v>detail</x:v>
      </x:c>
      <x:c r="C55" s="22" t="str">
        <x:v>N2B</x:v>
      </x:c>
      <x:c r="D55" s="23" t="b">
        <x:v>0</x:v>
      </x:c>
      <x:c r="E55" s="22"/>
      <x:c r="F55" s="22"/>
      <x:c r="G55" s="22"/>
      <x:c r="H55" s="22" t="str">
        <x:v>reported_implemented</x:v>
      </x:c>
      <x:c r="I55" s="22" t="str">
        <x:v>not_independently_verified</x:v>
      </x:c>
      <x:c r="J55" s="22" t="str">
        <x:v>preserve_URL_and_correct_content</x:v>
      </x:c>
    </x:row>
    <x:row r="56" ht="44" customHeight="1">
      <x:c r="A56" s="22" t="str">
        <x:v>/chords/by-key</x:v>
      </x:c>
      <x:c r="B56" s="22" t="str">
        <x:v>support</x:v>
      </x:c>
      <x:c r="C56" s="22" t="str">
        <x:v>original15</x:v>
      </x:c>
      <x:c r="D56" s="23" t="b">
        <x:v>1</x:v>
      </x:c>
      <x:c r="E56" s="22" t="str">
        <x:v>U085</x:v>
      </x:c>
      <x:c r="F56" s="22" t="str">
        <x:v>chords of key</x:v>
      </x:c>
      <x:c r="G56" s="22" t="n">
        <x:v>1900</x:v>
      </x:c>
      <x:c r="H56" s="22" t="str">
        <x:v>reported_implemented</x:v>
      </x:c>
      <x:c r="I56" s="22" t="str">
        <x:v>not_independently_verified</x:v>
      </x:c>
      <x:c r="J56" s="22" t="str">
        <x:v>preserve_URL_and_correct_content</x:v>
      </x:c>
    </x:row>
    <x:row r="57" ht="44" customHeight="1">
      <x:c r="A57" s="22" t="str">
        <x:v>/chords/c-7</x:v>
      </x:c>
      <x:c r="B57" s="22" t="str">
        <x:v>detail</x:v>
      </x:c>
      <x:c r="C57" s="22" t="str">
        <x:v>N2C</x:v>
      </x:c>
      <x:c r="D57" s="23" t="b">
        <x:v>0</x:v>
      </x:c>
      <x:c r="E57" s="22"/>
      <x:c r="F57" s="22"/>
      <x:c r="G57" s="22"/>
      <x:c r="H57" s="22" t="str">
        <x:v>reported_implemented</x:v>
      </x:c>
      <x:c r="I57" s="22" t="str">
        <x:v>not_independently_verified</x:v>
      </x:c>
      <x:c r="J57" s="22" t="str">
        <x:v>preserve_URL_and_correct_content</x:v>
      </x:c>
    </x:row>
    <x:row r="58" ht="44" customHeight="1">
      <x:c r="A58" s="22" t="str">
        <x:v>/chords/c-add9</x:v>
      </x:c>
      <x:c r="B58" s="22" t="str">
        <x:v>detail</x:v>
      </x:c>
      <x:c r="C58" s="22" t="str">
        <x:v>N2D_v2</x:v>
      </x:c>
      <x:c r="D58" s="23" t="b">
        <x:v>0</x:v>
      </x:c>
      <x:c r="E58" s="22"/>
      <x:c r="F58" s="22"/>
      <x:c r="G58" s="22"/>
      <x:c r="H58" s="22" t="str">
        <x:v>reported_implemented</x:v>
      </x:c>
      <x:c r="I58" s="22" t="str">
        <x:v>not_independently_verified</x:v>
      </x:c>
      <x:c r="J58" s="22" t="str">
        <x:v>preserve_URL_and_correct_content</x:v>
      </x:c>
    </x:row>
    <x:row r="59" ht="44" customHeight="1">
      <x:c r="A59" s="22" t="str">
        <x:v>/chords/c-augmented</x:v>
      </x:c>
      <x:c r="B59" s="22" t="str">
        <x:v>detail</x:v>
      </x:c>
      <x:c r="C59" s="22" t="str">
        <x:v>N2B</x:v>
      </x:c>
      <x:c r="D59" s="23" t="b">
        <x:v>0</x:v>
      </x:c>
      <x:c r="E59" s="22"/>
      <x:c r="F59" s="22"/>
      <x:c r="G59" s="22"/>
      <x:c r="H59" s="22" t="str">
        <x:v>reported_implemented</x:v>
      </x:c>
      <x:c r="I59" s="22" t="str">
        <x:v>not_independently_verified</x:v>
      </x:c>
      <x:c r="J59" s="22" t="str">
        <x:v>preserve_URL_and_correct_content</x:v>
      </x:c>
    </x:row>
    <x:row r="60" ht="44" customHeight="1">
      <x:c r="A60" s="22" t="str">
        <x:v>/chords/c-diminished</x:v>
      </x:c>
      <x:c r="B60" s="22" t="str">
        <x:v>detail</x:v>
      </x:c>
      <x:c r="C60" s="22" t="str">
        <x:v>N2B</x:v>
      </x:c>
      <x:c r="D60" s="23" t="b">
        <x:v>0</x:v>
      </x:c>
      <x:c r="E60" s="22"/>
      <x:c r="F60" s="22"/>
      <x:c r="G60" s="22"/>
      <x:c r="H60" s="22" t="str">
        <x:v>reported_implemented</x:v>
      </x:c>
      <x:c r="I60" s="22" t="str">
        <x:v>not_independently_verified</x:v>
      </x:c>
      <x:c r="J60" s="22" t="str">
        <x:v>preserve_URL_and_correct_content</x:v>
      </x:c>
    </x:row>
    <x:row r="61" ht="44" customHeight="1">
      <x:c r="A61" s="22" t="str">
        <x:v>/chords/c-flat-major</x:v>
      </x:c>
      <x:c r="B61" s="22" t="str">
        <x:v>detail</x:v>
      </x:c>
      <x:c r="C61" s="22" t="str">
        <x:v>original15</x:v>
      </x:c>
      <x:c r="D61" s="23" t="b">
        <x:v>1</x:v>
      </x:c>
      <x:c r="E61" s="22" t="str">
        <x:v>U083</x:v>
      </x:c>
      <x:c r="F61" s="22" t="str">
        <x:v>cb piano chord</x:v>
      </x:c>
      <x:c r="G61" s="22" t="n">
        <x:v>260</x:v>
      </x:c>
      <x:c r="H61" s="22" t="str">
        <x:v>reported_implemented</x:v>
      </x:c>
      <x:c r="I61" s="22" t="str">
        <x:v>not_independently_verified</x:v>
      </x:c>
      <x:c r="J61" s="22" t="str">
        <x:v>preserve_URL_and_correct_content</x:v>
      </x:c>
    </x:row>
    <x:row r="62" ht="44" customHeight="1">
      <x:c r="A62" s="22" t="str">
        <x:v>/chords/c-m7</x:v>
      </x:c>
      <x:c r="B62" s="22" t="str">
        <x:v>detail</x:v>
      </x:c>
      <x:c r="C62" s="22" t="str">
        <x:v>N2C</x:v>
      </x:c>
      <x:c r="D62" s="23" t="b">
        <x:v>0</x:v>
      </x:c>
      <x:c r="E62" s="22"/>
      <x:c r="F62" s="22"/>
      <x:c r="G62" s="22"/>
      <x:c r="H62" s="22" t="str">
        <x:v>reported_implemented</x:v>
      </x:c>
      <x:c r="I62" s="22" t="str">
        <x:v>not_independently_verified</x:v>
      </x:c>
      <x:c r="J62" s="22" t="str">
        <x:v>preserve_URL_and_correct_content</x:v>
      </x:c>
    </x:row>
    <x:row r="63" ht="44" customHeight="1">
      <x:c r="A63" s="22" t="str">
        <x:v>/chords/c-m7-flat5</x:v>
      </x:c>
      <x:c r="B63" s="22" t="str">
        <x:v>detail</x:v>
      </x:c>
      <x:c r="C63" s="22" t="str">
        <x:v>N2C</x:v>
      </x:c>
      <x:c r="D63" s="23" t="b">
        <x:v>0</x:v>
      </x:c>
      <x:c r="E63" s="22"/>
      <x:c r="F63" s="22"/>
      <x:c r="G63" s="22"/>
      <x:c r="H63" s="22" t="str">
        <x:v>reported_implemented</x:v>
      </x:c>
      <x:c r="I63" s="22" t="str">
        <x:v>not_independently_verified</x:v>
      </x:c>
      <x:c r="J63" s="22" t="str">
        <x:v>preserve_URL_and_correct_content</x:v>
      </x:c>
    </x:row>
    <x:row r="64" ht="44" customHeight="1">
      <x:c r="A64" s="22" t="str">
        <x:v>/chords/c-madd9</x:v>
      </x:c>
      <x:c r="B64" s="22" t="str">
        <x:v>detail</x:v>
      </x:c>
      <x:c r="C64" s="22" t="str">
        <x:v>N2D_v2</x:v>
      </x:c>
      <x:c r="D64" s="23" t="b">
        <x:v>0</x:v>
      </x:c>
      <x:c r="E64" s="22"/>
      <x:c r="F64" s="22"/>
      <x:c r="G64" s="22"/>
      <x:c r="H64" s="22" t="str">
        <x:v>reported_implemented</x:v>
      </x:c>
      <x:c r="I64" s="22" t="str">
        <x:v>not_independently_verified</x:v>
      </x:c>
      <x:c r="J64" s="22" t="str">
        <x:v>preserve_URL_and_correct_content</x:v>
      </x:c>
    </x:row>
    <x:row r="65" ht="44" customHeight="1">
      <x:c r="A65" s="22" t="str">
        <x:v>/chords/c-maj7</x:v>
      </x:c>
      <x:c r="B65" s="22" t="str">
        <x:v>detail</x:v>
      </x:c>
      <x:c r="C65" s="22" t="str">
        <x:v>N2C</x:v>
      </x:c>
      <x:c r="D65" s="23" t="b">
        <x:v>0</x:v>
      </x:c>
      <x:c r="E65" s="22"/>
      <x:c r="F65" s="22"/>
      <x:c r="G65" s="22"/>
      <x:c r="H65" s="22" t="str">
        <x:v>reported_implemented</x:v>
      </x:c>
      <x:c r="I65" s="22" t="str">
        <x:v>not_independently_verified</x:v>
      </x:c>
      <x:c r="J65" s="22" t="str">
        <x:v>preserve_URL_and_correct_content</x:v>
      </x:c>
    </x:row>
    <x:row r="66" ht="44" customHeight="1">
      <x:c r="A66" s="22" t="str">
        <x:v>/chords/c-major</x:v>
      </x:c>
      <x:c r="B66" s="22" t="str">
        <x:v>detail</x:v>
      </x:c>
      <x:c r="C66" s="22" t="str">
        <x:v>original15</x:v>
      </x:c>
      <x:c r="D66" s="23" t="b">
        <x:v>1</x:v>
      </x:c>
      <x:c r="E66" s="22" t="str">
        <x:v>U081</x:v>
      </x:c>
      <x:c r="F66" s="22" t="str">
        <x:v>c chords piano</x:v>
      </x:c>
      <x:c r="G66" s="22" t="n">
        <x:v>480</x:v>
      </x:c>
      <x:c r="H66" s="22" t="str">
        <x:v>reported_implemented</x:v>
      </x:c>
      <x:c r="I66" s="22" t="str">
        <x:v>not_independently_verified</x:v>
      </x:c>
      <x:c r="J66" s="22" t="str">
        <x:v>preserve_URL_and_correct_content</x:v>
      </x:c>
    </x:row>
    <x:row r="67" ht="44" customHeight="1">
      <x:c r="A67" s="22" t="str">
        <x:v>/chords/c-minor</x:v>
      </x:c>
      <x:c r="B67" s="22" t="str">
        <x:v>detail</x:v>
      </x:c>
      <x:c r="C67" s="22" t="str">
        <x:v>original15</x:v>
      </x:c>
      <x:c r="D67" s="23" t="b">
        <x:v>1</x:v>
      </x:c>
      <x:c r="E67" s="22" t="str">
        <x:v>U082</x:v>
      </x:c>
      <x:c r="F67" s="22" t="str">
        <x:v>c minor in piano</x:v>
      </x:c>
      <x:c r="G67" s="22" t="n">
        <x:v>260</x:v>
      </x:c>
      <x:c r="H67" s="22" t="str">
        <x:v>reported_implemented</x:v>
      </x:c>
      <x:c r="I67" s="22" t="str">
        <x:v>not_independently_verified</x:v>
      </x:c>
      <x:c r="J67" s="22" t="str">
        <x:v>preserve_URL_and_correct_content</x:v>
      </x:c>
    </x:row>
    <x:row r="68" ht="44" customHeight="1">
      <x:c r="A68" s="22" t="str">
        <x:v>/chords/c-sharp-minor</x:v>
      </x:c>
      <x:c r="B68" s="22" t="str">
        <x:v>detail</x:v>
      </x:c>
      <x:c r="C68" s="22" t="str">
        <x:v>N1</x:v>
      </x:c>
      <x:c r="D68" s="23" t="b">
        <x:v>0</x:v>
      </x:c>
      <x:c r="E68" s="22"/>
      <x:c r="F68" s="22"/>
      <x:c r="G68" s="22"/>
      <x:c r="H68" s="22" t="str">
        <x:v>reported_implemented</x:v>
      </x:c>
      <x:c r="I68" s="22" t="str">
        <x:v>not_independently_verified</x:v>
      </x:c>
      <x:c r="J68" s="22" t="str">
        <x:v>preserve_URL_and_correct_content</x:v>
      </x:c>
    </x:row>
    <x:row r="69" ht="44" customHeight="1">
      <x:c r="A69" s="22" t="str">
        <x:v>/chords/c-sus2</x:v>
      </x:c>
      <x:c r="B69" s="22" t="str">
        <x:v>detail</x:v>
      </x:c>
      <x:c r="C69" s="22" t="str">
        <x:v>N2B</x:v>
      </x:c>
      <x:c r="D69" s="23" t="b">
        <x:v>0</x:v>
      </x:c>
      <x:c r="E69" s="22"/>
      <x:c r="F69" s="22"/>
      <x:c r="G69" s="22"/>
      <x:c r="H69" s="22" t="str">
        <x:v>reported_implemented</x:v>
      </x:c>
      <x:c r="I69" s="22" t="str">
        <x:v>not_independently_verified</x:v>
      </x:c>
      <x:c r="J69" s="22" t="str">
        <x:v>preserve_URL_and_correct_content</x:v>
      </x:c>
    </x:row>
    <x:row r="70" ht="44" customHeight="1">
      <x:c r="A70" s="22" t="str">
        <x:v>/chords/c-sus4</x:v>
      </x:c>
      <x:c r="B70" s="22" t="str">
        <x:v>detail</x:v>
      </x:c>
      <x:c r="C70" s="22" t="str">
        <x:v>N2B</x:v>
      </x:c>
      <x:c r="D70" s="23" t="b">
        <x:v>0</x:v>
      </x:c>
      <x:c r="E70" s="22"/>
      <x:c r="F70" s="22"/>
      <x:c r="G70" s="22"/>
      <x:c r="H70" s="22" t="str">
        <x:v>reported_implemented</x:v>
      </x:c>
      <x:c r="I70" s="22" t="str">
        <x:v>not_independently_verified</x:v>
      </x:c>
      <x:c r="J70" s="22" t="str">
        <x:v>preserve_URL_and_correct_content</x:v>
      </x:c>
    </x:row>
    <x:row r="71" ht="44" customHeight="1">
      <x:c r="A71" s="22" t="str">
        <x:v>/chords/d-7</x:v>
      </x:c>
      <x:c r="B71" s="22" t="str">
        <x:v>detail</x:v>
      </x:c>
      <x:c r="C71" s="22" t="str">
        <x:v>N2C</x:v>
      </x:c>
      <x:c r="D71" s="23" t="b">
        <x:v>0</x:v>
      </x:c>
      <x:c r="E71" s="22"/>
      <x:c r="F71" s="22"/>
      <x:c r="G71" s="22"/>
      <x:c r="H71" s="22" t="str">
        <x:v>reported_implemented</x:v>
      </x:c>
      <x:c r="I71" s="22" t="str">
        <x:v>not_independently_verified</x:v>
      </x:c>
      <x:c r="J71" s="22" t="str">
        <x:v>preserve_URL_and_correct_content</x:v>
      </x:c>
    </x:row>
    <x:row r="72" ht="44" customHeight="1">
      <x:c r="A72" s="22" t="str">
        <x:v>/chords/d-add9</x:v>
      </x:c>
      <x:c r="B72" s="22" t="str">
        <x:v>detail</x:v>
      </x:c>
      <x:c r="C72" s="22" t="str">
        <x:v>N2D_v2</x:v>
      </x:c>
      <x:c r="D72" s="23" t="b">
        <x:v>0</x:v>
      </x:c>
      <x:c r="E72" s="22"/>
      <x:c r="F72" s="22"/>
      <x:c r="G72" s="22"/>
      <x:c r="H72" s="22" t="str">
        <x:v>reported_implemented</x:v>
      </x:c>
      <x:c r="I72" s="22" t="str">
        <x:v>not_independently_verified</x:v>
      </x:c>
      <x:c r="J72" s="22" t="str">
        <x:v>preserve_URL_and_correct_content</x:v>
      </x:c>
    </x:row>
    <x:row r="73" ht="44" customHeight="1">
      <x:c r="A73" s="22" t="str">
        <x:v>/chords/d-augmented</x:v>
      </x:c>
      <x:c r="B73" s="22" t="str">
        <x:v>detail</x:v>
      </x:c>
      <x:c r="C73" s="22" t="str">
        <x:v>N2B</x:v>
      </x:c>
      <x:c r="D73" s="23" t="b">
        <x:v>0</x:v>
      </x:c>
      <x:c r="E73" s="22"/>
      <x:c r="F73" s="22"/>
      <x:c r="G73" s="22"/>
      <x:c r="H73" s="22" t="str">
        <x:v>reported_implemented</x:v>
      </x:c>
      <x:c r="I73" s="22" t="str">
        <x:v>not_independently_verified</x:v>
      </x:c>
      <x:c r="J73" s="22" t="str">
        <x:v>preserve_URL_and_correct_content</x:v>
      </x:c>
    </x:row>
    <x:row r="74" ht="44" customHeight="1">
      <x:c r="A74" s="22" t="str">
        <x:v>/chords/d-diminished</x:v>
      </x:c>
      <x:c r="B74" s="22" t="str">
        <x:v>detail</x:v>
      </x:c>
      <x:c r="C74" s="22" t="str">
        <x:v>N2B</x:v>
      </x:c>
      <x:c r="D74" s="23" t="b">
        <x:v>0</x:v>
      </x:c>
      <x:c r="E74" s="22"/>
      <x:c r="F74" s="22"/>
      <x:c r="G74" s="22"/>
      <x:c r="H74" s="22" t="str">
        <x:v>reported_implemented</x:v>
      </x:c>
      <x:c r="I74" s="22" t="str">
        <x:v>not_independently_verified</x:v>
      </x:c>
      <x:c r="J74" s="22" t="str">
        <x:v>preserve_URL_and_correct_content</x:v>
      </x:c>
    </x:row>
    <x:row r="75" ht="44" customHeight="1">
      <x:c r="A75" s="22" t="str">
        <x:v>/chords/d-flat-7</x:v>
      </x:c>
      <x:c r="B75" s="22" t="str">
        <x:v>detail</x:v>
      </x:c>
      <x:c r="C75" s="22" t="str">
        <x:v>N2C</x:v>
      </x:c>
      <x:c r="D75" s="23" t="b">
        <x:v>0</x:v>
      </x:c>
      <x:c r="E75" s="22"/>
      <x:c r="F75" s="22"/>
      <x:c r="G75" s="22"/>
      <x:c r="H75" s="22" t="str">
        <x:v>reported_implemented</x:v>
      </x:c>
      <x:c r="I75" s="22" t="str">
        <x:v>not_independently_verified</x:v>
      </x:c>
      <x:c r="J75" s="22" t="str">
        <x:v>preserve_URL_and_correct_content</x:v>
      </x:c>
    </x:row>
    <x:row r="76" ht="44" customHeight="1">
      <x:c r="A76" s="22" t="str">
        <x:v>/chords/d-flat-add9</x:v>
      </x:c>
      <x:c r="B76" s="22" t="str">
        <x:v>detail</x:v>
      </x:c>
      <x:c r="C76" s="22" t="str">
        <x:v>N2D_v2</x:v>
      </x:c>
      <x:c r="D76" s="23" t="b">
        <x:v>0</x:v>
      </x:c>
      <x:c r="E76" s="22"/>
      <x:c r="F76" s="22"/>
      <x:c r="G76" s="22"/>
      <x:c r="H76" s="22" t="str">
        <x:v>reported_implemented</x:v>
      </x:c>
      <x:c r="I76" s="22" t="str">
        <x:v>not_independently_verified</x:v>
      </x:c>
      <x:c r="J76" s="22" t="str">
        <x:v>preserve_URL_and_correct_content</x:v>
      </x:c>
    </x:row>
    <x:row r="77" ht="44" customHeight="1">
      <x:c r="A77" s="22" t="str">
        <x:v>/chords/d-flat-augmented</x:v>
      </x:c>
      <x:c r="B77" s="22" t="str">
        <x:v>detail</x:v>
      </x:c>
      <x:c r="C77" s="22" t="str">
        <x:v>N2B</x:v>
      </x:c>
      <x:c r="D77" s="23" t="b">
        <x:v>0</x:v>
      </x:c>
      <x:c r="E77" s="22"/>
      <x:c r="F77" s="22"/>
      <x:c r="G77" s="22"/>
      <x:c r="H77" s="22" t="str">
        <x:v>reported_implemented</x:v>
      </x:c>
      <x:c r="I77" s="22" t="str">
        <x:v>not_independently_verified</x:v>
      </x:c>
      <x:c r="J77" s="22" t="str">
        <x:v>preserve_URL_and_correct_content</x:v>
      </x:c>
    </x:row>
    <x:row r="78" ht="44" customHeight="1">
      <x:c r="A78" s="22" t="str">
        <x:v>/chords/d-flat-diminished</x:v>
      </x:c>
      <x:c r="B78" s="22" t="str">
        <x:v>detail</x:v>
      </x:c>
      <x:c r="C78" s="22" t="str">
        <x:v>N2B</x:v>
      </x:c>
      <x:c r="D78" s="23" t="b">
        <x:v>0</x:v>
      </x:c>
      <x:c r="E78" s="22"/>
      <x:c r="F78" s="22"/>
      <x:c r="G78" s="22"/>
      <x:c r="H78" s="22" t="str">
        <x:v>reported_implemented</x:v>
      </x:c>
      <x:c r="I78" s="22" t="str">
        <x:v>not_independently_verified</x:v>
      </x:c>
      <x:c r="J78" s="22" t="str">
        <x:v>preserve_URL_and_correct_content</x:v>
      </x:c>
    </x:row>
    <x:row r="79" ht="44" customHeight="1">
      <x:c r="A79" s="22" t="str">
        <x:v>/chords/d-flat-m7</x:v>
      </x:c>
      <x:c r="B79" s="22" t="str">
        <x:v>detail</x:v>
      </x:c>
      <x:c r="C79" s="22" t="str">
        <x:v>N2C</x:v>
      </x:c>
      <x:c r="D79" s="23" t="b">
        <x:v>0</x:v>
      </x:c>
      <x:c r="E79" s="22"/>
      <x:c r="F79" s="22"/>
      <x:c r="G79" s="22"/>
      <x:c r="H79" s="22" t="str">
        <x:v>reported_implemented</x:v>
      </x:c>
      <x:c r="I79" s="22" t="str">
        <x:v>not_independently_verified</x:v>
      </x:c>
      <x:c r="J79" s="22" t="str">
        <x:v>preserve_URL_and_correct_content</x:v>
      </x:c>
    </x:row>
    <x:row r="80" ht="44" customHeight="1">
      <x:c r="A80" s="22" t="str">
        <x:v>/chords/d-flat-m7-flat5</x:v>
      </x:c>
      <x:c r="B80" s="22" t="str">
        <x:v>detail</x:v>
      </x:c>
      <x:c r="C80" s="22" t="str">
        <x:v>N2C</x:v>
      </x:c>
      <x:c r="D80" s="23" t="b">
        <x:v>0</x:v>
      </x:c>
      <x:c r="E80" s="22"/>
      <x:c r="F80" s="22"/>
      <x:c r="G80" s="22"/>
      <x:c r="H80" s="22" t="str">
        <x:v>reported_implemented</x:v>
      </x:c>
      <x:c r="I80" s="22" t="str">
        <x:v>not_independently_verified</x:v>
      </x:c>
      <x:c r="J80" s="22" t="str">
        <x:v>preserve_URL_and_correct_content</x:v>
      </x:c>
    </x:row>
    <x:row r="81" ht="44" customHeight="1">
      <x:c r="A81" s="22" t="str">
        <x:v>/chords/d-flat-madd9</x:v>
      </x:c>
      <x:c r="B81" s="22" t="str">
        <x:v>detail</x:v>
      </x:c>
      <x:c r="C81" s="22" t="str">
        <x:v>N2D_v2</x:v>
      </x:c>
      <x:c r="D81" s="23" t="b">
        <x:v>0</x:v>
      </x:c>
      <x:c r="E81" s="22"/>
      <x:c r="F81" s="22"/>
      <x:c r="G81" s="22"/>
      <x:c r="H81" s="22" t="str">
        <x:v>reported_implemented</x:v>
      </x:c>
      <x:c r="I81" s="22" t="str">
        <x:v>not_independently_verified</x:v>
      </x:c>
      <x:c r="J81" s="22" t="str">
        <x:v>preserve_URL_and_correct_content</x:v>
      </x:c>
    </x:row>
    <x:row r="82" ht="44" customHeight="1">
      <x:c r="A82" s="22" t="str">
        <x:v>/chords/d-flat-maj7</x:v>
      </x:c>
      <x:c r="B82" s="22" t="str">
        <x:v>detail</x:v>
      </x:c>
      <x:c r="C82" s="22" t="str">
        <x:v>N2C</x:v>
      </x:c>
      <x:c r="D82" s="23" t="b">
        <x:v>0</x:v>
      </x:c>
      <x:c r="E82" s="22"/>
      <x:c r="F82" s="22"/>
      <x:c r="G82" s="22"/>
      <x:c r="H82" s="22" t="str">
        <x:v>reported_implemented</x:v>
      </x:c>
      <x:c r="I82" s="22" t="str">
        <x:v>not_independently_verified</x:v>
      </x:c>
      <x:c r="J82" s="22" t="str">
        <x:v>preserve_URL_and_correct_content</x:v>
      </x:c>
    </x:row>
    <x:row r="83" ht="44" customHeight="1">
      <x:c r="A83" s="22" t="str">
        <x:v>/chords/d-flat-major</x:v>
      </x:c>
      <x:c r="B83" s="22" t="str">
        <x:v>detail</x:v>
      </x:c>
      <x:c r="C83" s="22" t="str">
        <x:v>N1</x:v>
      </x:c>
      <x:c r="D83" s="23" t="b">
        <x:v>0</x:v>
      </x:c>
      <x:c r="E83" s="22"/>
      <x:c r="F83" s="22"/>
      <x:c r="G83" s="22"/>
      <x:c r="H83" s="22" t="str">
        <x:v>reported_implemented</x:v>
      </x:c>
      <x:c r="I83" s="22" t="str">
        <x:v>not_independently_verified</x:v>
      </x:c>
      <x:c r="J83" s="22" t="str">
        <x:v>preserve_URL_and_correct_content</x:v>
      </x:c>
    </x:row>
    <x:row r="84" ht="44" customHeight="1">
      <x:c r="A84" s="22" t="str">
        <x:v>/chords/d-flat-sus2</x:v>
      </x:c>
      <x:c r="B84" s="22" t="str">
        <x:v>detail</x:v>
      </x:c>
      <x:c r="C84" s="22" t="str">
        <x:v>N2B</x:v>
      </x:c>
      <x:c r="D84" s="23" t="b">
        <x:v>0</x:v>
      </x:c>
      <x:c r="E84" s="22"/>
      <x:c r="F84" s="22"/>
      <x:c r="G84" s="22"/>
      <x:c r="H84" s="22" t="str">
        <x:v>reported_implemented</x:v>
      </x:c>
      <x:c r="I84" s="22" t="str">
        <x:v>not_independently_verified</x:v>
      </x:c>
      <x:c r="J84" s="22" t="str">
        <x:v>preserve_URL_and_correct_content</x:v>
      </x:c>
    </x:row>
    <x:row r="85" ht="44" customHeight="1">
      <x:c r="A85" s="22" t="str">
        <x:v>/chords/d-flat-sus4</x:v>
      </x:c>
      <x:c r="B85" s="22" t="str">
        <x:v>detail</x:v>
      </x:c>
      <x:c r="C85" s="22" t="str">
        <x:v>N2B</x:v>
      </x:c>
      <x:c r="D85" s="23" t="b">
        <x:v>0</x:v>
      </x:c>
      <x:c r="E85" s="22"/>
      <x:c r="F85" s="22"/>
      <x:c r="G85" s="22"/>
      <x:c r="H85" s="22" t="str">
        <x:v>reported_implemented</x:v>
      </x:c>
      <x:c r="I85" s="22" t="str">
        <x:v>not_independently_verified</x:v>
      </x:c>
      <x:c r="J85" s="22" t="str">
        <x:v>preserve_URL_and_correct_content</x:v>
      </x:c>
    </x:row>
    <x:row r="86" ht="44" customHeight="1">
      <x:c r="A86" s="22" t="str">
        <x:v>/chords/d-m7</x:v>
      </x:c>
      <x:c r="B86" s="22" t="str">
        <x:v>detail</x:v>
      </x:c>
      <x:c r="C86" s="22" t="str">
        <x:v>N2C</x:v>
      </x:c>
      <x:c r="D86" s="23" t="b">
        <x:v>0</x:v>
      </x:c>
      <x:c r="E86" s="22"/>
      <x:c r="F86" s="22"/>
      <x:c r="G86" s="22"/>
      <x:c r="H86" s="22" t="str">
        <x:v>reported_implemented</x:v>
      </x:c>
      <x:c r="I86" s="22" t="str">
        <x:v>not_independently_verified</x:v>
      </x:c>
      <x:c r="J86" s="22" t="str">
        <x:v>preserve_URL_and_correct_content</x:v>
      </x:c>
    </x:row>
    <x:row r="87" ht="44" customHeight="1">
      <x:c r="A87" s="22" t="str">
        <x:v>/chords/d-m7-flat5</x:v>
      </x:c>
      <x:c r="B87" s="22" t="str">
        <x:v>detail</x:v>
      </x:c>
      <x:c r="C87" s="22" t="str">
        <x:v>N2C</x:v>
      </x:c>
      <x:c r="D87" s="23" t="b">
        <x:v>0</x:v>
      </x:c>
      <x:c r="E87" s="22"/>
      <x:c r="F87" s="22"/>
      <x:c r="G87" s="22"/>
      <x:c r="H87" s="22" t="str">
        <x:v>reported_implemented</x:v>
      </x:c>
      <x:c r="I87" s="22" t="str">
        <x:v>not_independently_verified</x:v>
      </x:c>
      <x:c r="J87" s="22" t="str">
        <x:v>preserve_URL_and_correct_content</x:v>
      </x:c>
    </x:row>
    <x:row r="88" ht="44" customHeight="1">
      <x:c r="A88" s="22" t="str">
        <x:v>/chords/d-madd9</x:v>
      </x:c>
      <x:c r="B88" s="22" t="str">
        <x:v>detail</x:v>
      </x:c>
      <x:c r="C88" s="22" t="str">
        <x:v>N2D_v2</x:v>
      </x:c>
      <x:c r="D88" s="23" t="b">
        <x:v>0</x:v>
      </x:c>
      <x:c r="E88" s="22"/>
      <x:c r="F88" s="22"/>
      <x:c r="G88" s="22"/>
      <x:c r="H88" s="22" t="str">
        <x:v>reported_implemented</x:v>
      </x:c>
      <x:c r="I88" s="22" t="str">
        <x:v>not_independently_verified</x:v>
      </x:c>
      <x:c r="J88" s="22" t="str">
        <x:v>preserve_URL_and_correct_content</x:v>
      </x:c>
    </x:row>
    <x:row r="89" ht="44" customHeight="1">
      <x:c r="A89" s="22" t="str">
        <x:v>/chords/d-maj7</x:v>
      </x:c>
      <x:c r="B89" s="22" t="str">
        <x:v>detail</x:v>
      </x:c>
      <x:c r="C89" s="22" t="str">
        <x:v>N2C</x:v>
      </x:c>
      <x:c r="D89" s="23" t="b">
        <x:v>0</x:v>
      </x:c>
      <x:c r="E89" s="22"/>
      <x:c r="F89" s="22"/>
      <x:c r="G89" s="22"/>
      <x:c r="H89" s="22" t="str">
        <x:v>reported_implemented</x:v>
      </x:c>
      <x:c r="I89" s="22" t="str">
        <x:v>not_independently_verified</x:v>
      </x:c>
      <x:c r="J89" s="22" t="str">
        <x:v>preserve_URL_and_correct_content</x:v>
      </x:c>
    </x:row>
    <x:row r="90" ht="44" customHeight="1">
      <x:c r="A90" s="22" t="str">
        <x:v>/chords/d-major</x:v>
      </x:c>
      <x:c r="B90" s="22" t="str">
        <x:v>detail</x:v>
      </x:c>
      <x:c r="C90" s="22" t="str">
        <x:v>N1</x:v>
      </x:c>
      <x:c r="D90" s="23" t="b">
        <x:v>0</x:v>
      </x:c>
      <x:c r="E90" s="22"/>
      <x:c r="F90" s="22"/>
      <x:c r="G90" s="22"/>
      <x:c r="H90" s="22" t="str">
        <x:v>reported_implemented</x:v>
      </x:c>
      <x:c r="I90" s="22" t="str">
        <x:v>not_independently_verified</x:v>
      </x:c>
      <x:c r="J90" s="22" t="str">
        <x:v>preserve_URL_and_correct_content</x:v>
      </x:c>
    </x:row>
    <x:row r="91" ht="44" customHeight="1">
      <x:c r="A91" s="22" t="str">
        <x:v>/chords/d-minor</x:v>
      </x:c>
      <x:c r="B91" s="22" t="str">
        <x:v>detail</x:v>
      </x:c>
      <x:c r="C91" s="22" t="str">
        <x:v>N1</x:v>
      </x:c>
      <x:c r="D91" s="23" t="b">
        <x:v>0</x:v>
      </x:c>
      <x:c r="E91" s="22"/>
      <x:c r="F91" s="22"/>
      <x:c r="G91" s="22"/>
      <x:c r="H91" s="22" t="str">
        <x:v>reported_implemented</x:v>
      </x:c>
      <x:c r="I91" s="22" t="str">
        <x:v>not_independently_verified</x:v>
      </x:c>
      <x:c r="J91" s="22" t="str">
        <x:v>preserve_URL_and_correct_content</x:v>
      </x:c>
    </x:row>
    <x:row r="92" ht="44" customHeight="1">
      <x:c r="A92" s="22" t="str">
        <x:v>/chords/d-sus2</x:v>
      </x:c>
      <x:c r="B92" s="22" t="str">
        <x:v>detail</x:v>
      </x:c>
      <x:c r="C92" s="22" t="str">
        <x:v>N2B</x:v>
      </x:c>
      <x:c r="D92" s="23" t="b">
        <x:v>0</x:v>
      </x:c>
      <x:c r="E92" s="22"/>
      <x:c r="F92" s="22"/>
      <x:c r="G92" s="22"/>
      <x:c r="H92" s="22" t="str">
        <x:v>reported_implemented</x:v>
      </x:c>
      <x:c r="I92" s="22" t="str">
        <x:v>not_independently_verified</x:v>
      </x:c>
      <x:c r="J92" s="22" t="str">
        <x:v>preserve_URL_and_correct_content</x:v>
      </x:c>
    </x:row>
    <x:row r="93" ht="44" customHeight="1">
      <x:c r="A93" s="22" t="str">
        <x:v>/chords/d-sus4</x:v>
      </x:c>
      <x:c r="B93" s="22" t="str">
        <x:v>detail</x:v>
      </x:c>
      <x:c r="C93" s="22" t="str">
        <x:v>N2B</x:v>
      </x:c>
      <x:c r="D93" s="23" t="b">
        <x:v>0</x:v>
      </x:c>
      <x:c r="E93" s="22"/>
      <x:c r="F93" s="22"/>
      <x:c r="G93" s="22"/>
      <x:c r="H93" s="22" t="str">
        <x:v>reported_implemented</x:v>
      </x:c>
      <x:c r="I93" s="22" t="str">
        <x:v>not_independently_verified</x:v>
      </x:c>
      <x:c r="J93" s="22" t="str">
        <x:v>preserve_URL_and_correct_content</x:v>
      </x:c>
    </x:row>
    <x:row r="94" ht="44" customHeight="1">
      <x:c r="A94" s="22" t="str">
        <x:v>/chords/diminished</x:v>
      </x:c>
      <x:c r="B94" s="22" t="str">
        <x:v>category</x:v>
      </x:c>
      <x:c r="C94" s="22" t="str">
        <x:v>N2B</x:v>
      </x:c>
      <x:c r="D94" s="23" t="b">
        <x:v>0</x:v>
      </x:c>
      <x:c r="E94" s="22"/>
      <x:c r="F94" s="22"/>
      <x:c r="G94" s="22"/>
      <x:c r="H94" s="22" t="str">
        <x:v>reported_implemented</x:v>
      </x:c>
      <x:c r="I94" s="22" t="str">
        <x:v>not_independently_verified</x:v>
      </x:c>
      <x:c r="J94" s="22" t="str">
        <x:v>preserve_URL_and_correct_content</x:v>
      </x:c>
    </x:row>
    <x:row r="95" ht="44" customHeight="1">
      <x:c r="A95" s="22" t="str">
        <x:v>/chords/e-7</x:v>
      </x:c>
      <x:c r="B95" s="22" t="str">
        <x:v>detail</x:v>
      </x:c>
      <x:c r="C95" s="22" t="str">
        <x:v>N2C</x:v>
      </x:c>
      <x:c r="D95" s="23" t="b">
        <x:v>0</x:v>
      </x:c>
      <x:c r="E95" s="22"/>
      <x:c r="F95" s="22"/>
      <x:c r="G95" s="22"/>
      <x:c r="H95" s="22" t="str">
        <x:v>reported_implemented</x:v>
      </x:c>
      <x:c r="I95" s="22" t="str">
        <x:v>not_independently_verified</x:v>
      </x:c>
      <x:c r="J95" s="22" t="str">
        <x:v>preserve_URL_and_correct_content</x:v>
      </x:c>
    </x:row>
    <x:row r="96" ht="44" customHeight="1">
      <x:c r="A96" s="22" t="str">
        <x:v>/chords/e-add9</x:v>
      </x:c>
      <x:c r="B96" s="22" t="str">
        <x:v>detail</x:v>
      </x:c>
      <x:c r="C96" s="22" t="str">
        <x:v>N2D_v2</x:v>
      </x:c>
      <x:c r="D96" s="23" t="b">
        <x:v>0</x:v>
      </x:c>
      <x:c r="E96" s="22"/>
      <x:c r="F96" s="22"/>
      <x:c r="G96" s="22"/>
      <x:c r="H96" s="22" t="str">
        <x:v>reported_implemented</x:v>
      </x:c>
      <x:c r="I96" s="22" t="str">
        <x:v>not_independently_verified</x:v>
      </x:c>
      <x:c r="J96" s="22" t="str">
        <x:v>preserve_URL_and_correct_content</x:v>
      </x:c>
    </x:row>
    <x:row r="97" ht="44" customHeight="1">
      <x:c r="A97" s="22" t="str">
        <x:v>/chords/e-augmented</x:v>
      </x:c>
      <x:c r="B97" s="22" t="str">
        <x:v>detail</x:v>
      </x:c>
      <x:c r="C97" s="22" t="str">
        <x:v>N2B</x:v>
      </x:c>
      <x:c r="D97" s="23" t="b">
        <x:v>0</x:v>
      </x:c>
      <x:c r="E97" s="22"/>
      <x:c r="F97" s="22"/>
      <x:c r="G97" s="22"/>
      <x:c r="H97" s="22" t="str">
        <x:v>reported_implemented</x:v>
      </x:c>
      <x:c r="I97" s="22" t="str">
        <x:v>not_independently_verified</x:v>
      </x:c>
      <x:c r="J97" s="22" t="str">
        <x:v>preserve_URL_and_correct_content</x:v>
      </x:c>
    </x:row>
    <x:row r="98" ht="44" customHeight="1">
      <x:c r="A98" s="22" t="str">
        <x:v>/chords/e-diminished</x:v>
      </x:c>
      <x:c r="B98" s="22" t="str">
        <x:v>detail</x:v>
      </x:c>
      <x:c r="C98" s="22" t="str">
        <x:v>N2B</x:v>
      </x:c>
      <x:c r="D98" s="23" t="b">
        <x:v>0</x:v>
      </x:c>
      <x:c r="E98" s="22"/>
      <x:c r="F98" s="22"/>
      <x:c r="G98" s="22"/>
      <x:c r="H98" s="22" t="str">
        <x:v>reported_implemented</x:v>
      </x:c>
      <x:c r="I98" s="22" t="str">
        <x:v>not_independently_verified</x:v>
      </x:c>
      <x:c r="J98" s="22" t="str">
        <x:v>preserve_URL_and_correct_content</x:v>
      </x:c>
    </x:row>
    <x:row r="99" ht="44" customHeight="1">
      <x:c r="A99" s="22" t="str">
        <x:v>/chords/e-flat-7</x:v>
      </x:c>
      <x:c r="B99" s="22" t="str">
        <x:v>detail</x:v>
      </x:c>
      <x:c r="C99" s="22" t="str">
        <x:v>N2C</x:v>
      </x:c>
      <x:c r="D99" s="23" t="b">
        <x:v>0</x:v>
      </x:c>
      <x:c r="E99" s="22"/>
      <x:c r="F99" s="22"/>
      <x:c r="G99" s="22"/>
      <x:c r="H99" s="22" t="str">
        <x:v>reported_implemented</x:v>
      </x:c>
      <x:c r="I99" s="22" t="str">
        <x:v>not_independently_verified</x:v>
      </x:c>
      <x:c r="J99" s="22" t="str">
        <x:v>preserve_URL_and_correct_content</x:v>
      </x:c>
    </x:row>
    <x:row r="100" ht="44" customHeight="1">
      <x:c r="A100" s="22" t="str">
        <x:v>/chords/e-flat-add9</x:v>
      </x:c>
      <x:c r="B100" s="22" t="str">
        <x:v>detail</x:v>
      </x:c>
      <x:c r="C100" s="22" t="str">
        <x:v>N2D_v2</x:v>
      </x:c>
      <x:c r="D100" s="23" t="b">
        <x:v>0</x:v>
      </x:c>
      <x:c r="E100" s="22"/>
      <x:c r="F100" s="22"/>
      <x:c r="G100" s="22"/>
      <x:c r="H100" s="22" t="str">
        <x:v>reported_implemented</x:v>
      </x:c>
      <x:c r="I100" s="22" t="str">
        <x:v>not_independently_verified</x:v>
      </x:c>
      <x:c r="J100" s="22" t="str">
        <x:v>preserve_URL_and_correct_content</x:v>
      </x:c>
    </x:row>
    <x:row r="101" ht="44" customHeight="1">
      <x:c r="A101" s="22" t="str">
        <x:v>/chords/e-flat-augmented</x:v>
      </x:c>
      <x:c r="B101" s="22" t="str">
        <x:v>detail</x:v>
      </x:c>
      <x:c r="C101" s="22" t="str">
        <x:v>N2B</x:v>
      </x:c>
      <x:c r="D101" s="23" t="b">
        <x:v>0</x:v>
      </x:c>
      <x:c r="E101" s="22"/>
      <x:c r="F101" s="22"/>
      <x:c r="G101" s="22"/>
      <x:c r="H101" s="22" t="str">
        <x:v>reported_implemented</x:v>
      </x:c>
      <x:c r="I101" s="22" t="str">
        <x:v>not_independently_verified</x:v>
      </x:c>
      <x:c r="J101" s="22" t="str">
        <x:v>preserve_URL_and_correct_content</x:v>
      </x:c>
    </x:row>
    <x:row r="102" ht="44" customHeight="1">
      <x:c r="A102" s="22" t="str">
        <x:v>/chords/e-flat-diminished</x:v>
      </x:c>
      <x:c r="B102" s="22" t="str">
        <x:v>detail</x:v>
      </x:c>
      <x:c r="C102" s="22" t="str">
        <x:v>N2B</x:v>
      </x:c>
      <x:c r="D102" s="23" t="b">
        <x:v>0</x:v>
      </x:c>
      <x:c r="E102" s="22"/>
      <x:c r="F102" s="22"/>
      <x:c r="G102" s="22"/>
      <x:c r="H102" s="22" t="str">
        <x:v>reported_implemented</x:v>
      </x:c>
      <x:c r="I102" s="22" t="str">
        <x:v>not_independently_verified</x:v>
      </x:c>
      <x:c r="J102" s="22" t="str">
        <x:v>preserve_URL_and_correct_content</x:v>
      </x:c>
    </x:row>
    <x:row r="103" ht="44" customHeight="1">
      <x:c r="A103" s="22" t="str">
        <x:v>/chords/e-flat-m7</x:v>
      </x:c>
      <x:c r="B103" s="22" t="str">
        <x:v>detail</x:v>
      </x:c>
      <x:c r="C103" s="22" t="str">
        <x:v>N2C</x:v>
      </x:c>
      <x:c r="D103" s="23" t="b">
        <x:v>0</x:v>
      </x:c>
      <x:c r="E103" s="22"/>
      <x:c r="F103" s="22"/>
      <x:c r="G103" s="22"/>
      <x:c r="H103" s="22" t="str">
        <x:v>reported_implemented</x:v>
      </x:c>
      <x:c r="I103" s="22" t="str">
        <x:v>not_independently_verified</x:v>
      </x:c>
      <x:c r="J103" s="22" t="str">
        <x:v>preserve_URL_and_correct_content</x:v>
      </x:c>
    </x:row>
    <x:row r="104" ht="44" customHeight="1">
      <x:c r="A104" s="22" t="str">
        <x:v>/chords/e-flat-m7-flat5</x:v>
      </x:c>
      <x:c r="B104" s="22" t="str">
        <x:v>detail</x:v>
      </x:c>
      <x:c r="C104" s="22" t="str">
        <x:v>N2C</x:v>
      </x:c>
      <x:c r="D104" s="23" t="b">
        <x:v>0</x:v>
      </x:c>
      <x:c r="E104" s="22"/>
      <x:c r="F104" s="22"/>
      <x:c r="G104" s="22"/>
      <x:c r="H104" s="22" t="str">
        <x:v>reported_implemented</x:v>
      </x:c>
      <x:c r="I104" s="22" t="str">
        <x:v>not_independently_verified</x:v>
      </x:c>
      <x:c r="J104" s="22" t="str">
        <x:v>preserve_URL_and_correct_content</x:v>
      </x:c>
    </x:row>
    <x:row r="105" ht="44" customHeight="1">
      <x:c r="A105" s="22" t="str">
        <x:v>/chords/e-flat-madd9</x:v>
      </x:c>
      <x:c r="B105" s="22" t="str">
        <x:v>detail</x:v>
      </x:c>
      <x:c r="C105" s="22" t="str">
        <x:v>N2D_v2</x:v>
      </x:c>
      <x:c r="D105" s="23" t="b">
        <x:v>0</x:v>
      </x:c>
      <x:c r="E105" s="22"/>
      <x:c r="F105" s="22"/>
      <x:c r="G105" s="22"/>
      <x:c r="H105" s="22" t="str">
        <x:v>reported_implemented</x:v>
      </x:c>
      <x:c r="I105" s="22" t="str">
        <x:v>not_independently_verified</x:v>
      </x:c>
      <x:c r="J105" s="22" t="str">
        <x:v>preserve_URL_and_correct_content</x:v>
      </x:c>
    </x:row>
    <x:row r="106" ht="44" customHeight="1">
      <x:c r="A106" s="22" t="str">
        <x:v>/chords/e-flat-maj7</x:v>
      </x:c>
      <x:c r="B106" s="22" t="str">
        <x:v>detail</x:v>
      </x:c>
      <x:c r="C106" s="22" t="str">
        <x:v>N2C</x:v>
      </x:c>
      <x:c r="D106" s="23" t="b">
        <x:v>0</x:v>
      </x:c>
      <x:c r="E106" s="22"/>
      <x:c r="F106" s="22"/>
      <x:c r="G106" s="22"/>
      <x:c r="H106" s="22" t="str">
        <x:v>reported_implemented</x:v>
      </x:c>
      <x:c r="I106" s="22" t="str">
        <x:v>not_independently_verified</x:v>
      </x:c>
      <x:c r="J106" s="22" t="str">
        <x:v>preserve_URL_and_correct_content</x:v>
      </x:c>
    </x:row>
    <x:row r="107" ht="44" customHeight="1">
      <x:c r="A107" s="22" t="str">
        <x:v>/chords/e-flat-major</x:v>
      </x:c>
      <x:c r="B107" s="22" t="str">
        <x:v>detail</x:v>
      </x:c>
      <x:c r="C107" s="22" t="str">
        <x:v>N1</x:v>
      </x:c>
      <x:c r="D107" s="23" t="b">
        <x:v>0</x:v>
      </x:c>
      <x:c r="E107" s="22"/>
      <x:c r="F107" s="22"/>
      <x:c r="G107" s="22"/>
      <x:c r="H107" s="22" t="str">
        <x:v>reported_implemented</x:v>
      </x:c>
      <x:c r="I107" s="22" t="str">
        <x:v>not_independently_verified</x:v>
      </x:c>
      <x:c r="J107" s="22" t="str">
        <x:v>preserve_URL_and_correct_content</x:v>
      </x:c>
    </x:row>
    <x:row r="108" ht="44" customHeight="1">
      <x:c r="A108" s="22" t="str">
        <x:v>/chords/e-flat-minor</x:v>
      </x:c>
      <x:c r="B108" s="22" t="str">
        <x:v>detail</x:v>
      </x:c>
      <x:c r="C108" s="22" t="str">
        <x:v>N1</x:v>
      </x:c>
      <x:c r="D108" s="23" t="b">
        <x:v>0</x:v>
      </x:c>
      <x:c r="E108" s="22"/>
      <x:c r="F108" s="22"/>
      <x:c r="G108" s="22"/>
      <x:c r="H108" s="22" t="str">
        <x:v>reported_implemented</x:v>
      </x:c>
      <x:c r="I108" s="22" t="str">
        <x:v>not_independently_verified</x:v>
      </x:c>
      <x:c r="J108" s="22" t="str">
        <x:v>preserve_URL_and_correct_content</x:v>
      </x:c>
    </x:row>
    <x:row r="109" ht="44" customHeight="1">
      <x:c r="A109" s="22" t="str">
        <x:v>/chords/e-flat-sus2</x:v>
      </x:c>
      <x:c r="B109" s="22" t="str">
        <x:v>detail</x:v>
      </x:c>
      <x:c r="C109" s="22" t="str">
        <x:v>N2B</x:v>
      </x:c>
      <x:c r="D109" s="23" t="b">
        <x:v>0</x:v>
      </x:c>
      <x:c r="E109" s="22"/>
      <x:c r="F109" s="22"/>
      <x:c r="G109" s="22"/>
      <x:c r="H109" s="22" t="str">
        <x:v>reported_implemented</x:v>
      </x:c>
      <x:c r="I109" s="22" t="str">
        <x:v>not_independently_verified</x:v>
      </x:c>
      <x:c r="J109" s="22" t="str">
        <x:v>preserve_URL_and_correct_content</x:v>
      </x:c>
    </x:row>
    <x:row r="110" ht="44" customHeight="1">
      <x:c r="A110" s="22" t="str">
        <x:v>/chords/e-flat-sus4</x:v>
      </x:c>
      <x:c r="B110" s="22" t="str">
        <x:v>detail</x:v>
      </x:c>
      <x:c r="C110" s="22" t="str">
        <x:v>N2B</x:v>
      </x:c>
      <x:c r="D110" s="23" t="b">
        <x:v>0</x:v>
      </x:c>
      <x:c r="E110" s="22"/>
      <x:c r="F110" s="22"/>
      <x:c r="G110" s="22"/>
      <x:c r="H110" s="22" t="str">
        <x:v>reported_implemented</x:v>
      </x:c>
      <x:c r="I110" s="22" t="str">
        <x:v>not_independently_verified</x:v>
      </x:c>
      <x:c r="J110" s="22" t="str">
        <x:v>preserve_URL_and_correct_content</x:v>
      </x:c>
    </x:row>
    <x:row r="111" ht="44" customHeight="1">
      <x:c r="A111" s="22" t="str">
        <x:v>/chords/e-m7</x:v>
      </x:c>
      <x:c r="B111" s="22" t="str">
        <x:v>detail</x:v>
      </x:c>
      <x:c r="C111" s="22" t="str">
        <x:v>N2C</x:v>
      </x:c>
      <x:c r="D111" s="23" t="b">
        <x:v>0</x:v>
      </x:c>
      <x:c r="E111" s="22"/>
      <x:c r="F111" s="22"/>
      <x:c r="G111" s="22"/>
      <x:c r="H111" s="22" t="str">
        <x:v>reported_implemented</x:v>
      </x:c>
      <x:c r="I111" s="22" t="str">
        <x:v>not_independently_verified</x:v>
      </x:c>
      <x:c r="J111" s="22" t="str">
        <x:v>preserve_URL_and_correct_content</x:v>
      </x:c>
    </x:row>
    <x:row r="112" ht="44" customHeight="1">
      <x:c r="A112" s="22" t="str">
        <x:v>/chords/e-m7-flat5</x:v>
      </x:c>
      <x:c r="B112" s="22" t="str">
        <x:v>detail</x:v>
      </x:c>
      <x:c r="C112" s="22" t="str">
        <x:v>N2C</x:v>
      </x:c>
      <x:c r="D112" s="23" t="b">
        <x:v>0</x:v>
      </x:c>
      <x:c r="E112" s="22"/>
      <x:c r="F112" s="22"/>
      <x:c r="G112" s="22"/>
      <x:c r="H112" s="22" t="str">
        <x:v>reported_implemented</x:v>
      </x:c>
      <x:c r="I112" s="22" t="str">
        <x:v>not_independently_verified</x:v>
      </x:c>
      <x:c r="J112" s="22" t="str">
        <x:v>preserve_URL_and_correct_content</x:v>
      </x:c>
    </x:row>
    <x:row r="113" ht="44" customHeight="1">
      <x:c r="A113" s="22" t="str">
        <x:v>/chords/e-madd9</x:v>
      </x:c>
      <x:c r="B113" s="22" t="str">
        <x:v>detail</x:v>
      </x:c>
      <x:c r="C113" s="22" t="str">
        <x:v>N2D_v2</x:v>
      </x:c>
      <x:c r="D113" s="23" t="b">
        <x:v>0</x:v>
      </x:c>
      <x:c r="E113" s="22"/>
      <x:c r="F113" s="22"/>
      <x:c r="G113" s="22"/>
      <x:c r="H113" s="22" t="str">
        <x:v>reported_implemented</x:v>
      </x:c>
      <x:c r="I113" s="22" t="str">
        <x:v>not_independently_verified</x:v>
      </x:c>
      <x:c r="J113" s="22" t="str">
        <x:v>preserve_URL_and_correct_content</x:v>
      </x:c>
    </x:row>
    <x:row r="114" ht="44" customHeight="1">
      <x:c r="A114" s="22" t="str">
        <x:v>/chords/e-maj7</x:v>
      </x:c>
      <x:c r="B114" s="22" t="str">
        <x:v>detail</x:v>
      </x:c>
      <x:c r="C114" s="22" t="str">
        <x:v>N2C</x:v>
      </x:c>
      <x:c r="D114" s="23" t="b">
        <x:v>0</x:v>
      </x:c>
      <x:c r="E114" s="22"/>
      <x:c r="F114" s="22"/>
      <x:c r="G114" s="22"/>
      <x:c r="H114" s="22" t="str">
        <x:v>reported_implemented</x:v>
      </x:c>
      <x:c r="I114" s="22" t="str">
        <x:v>not_independently_verified</x:v>
      </x:c>
      <x:c r="J114" s="22" t="str">
        <x:v>preserve_URL_and_correct_content</x:v>
      </x:c>
    </x:row>
    <x:row r="115" ht="44" customHeight="1">
      <x:c r="A115" s="22" t="str">
        <x:v>/chords/e-major</x:v>
      </x:c>
      <x:c r="B115" s="22" t="str">
        <x:v>detail</x:v>
      </x:c>
      <x:c r="C115" s="22" t="str">
        <x:v>original15</x:v>
      </x:c>
      <x:c r="D115" s="23" t="b">
        <x:v>1</x:v>
      </x:c>
      <x:c r="E115" s="22" t="str">
        <x:v>U080</x:v>
      </x:c>
      <x:c r="F115" s="22" t="str">
        <x:v>piano e chord</x:v>
      </x:c>
      <x:c r="G115" s="22" t="n">
        <x:v>590</x:v>
      </x:c>
      <x:c r="H115" s="22" t="str">
        <x:v>reported_implemented</x:v>
      </x:c>
      <x:c r="I115" s="22" t="str">
        <x:v>not_independently_verified</x:v>
      </x:c>
      <x:c r="J115" s="22" t="str">
        <x:v>preserve_URL_and_correct_content</x:v>
      </x:c>
    </x:row>
    <x:row r="116" ht="44" customHeight="1">
      <x:c r="A116" s="22" t="str">
        <x:v>/chords/e-minor</x:v>
      </x:c>
      <x:c r="B116" s="22" t="str">
        <x:v>detail</x:v>
      </x:c>
      <x:c r="C116" s="22" t="str">
        <x:v>N1</x:v>
      </x:c>
      <x:c r="D116" s="23" t="b">
        <x:v>0</x:v>
      </x:c>
      <x:c r="E116" s="22"/>
      <x:c r="F116" s="22"/>
      <x:c r="G116" s="22"/>
      <x:c r="H116" s="22" t="str">
        <x:v>reported_implemented</x:v>
      </x:c>
      <x:c r="I116" s="22" t="str">
        <x:v>not_independently_verified</x:v>
      </x:c>
      <x:c r="J116" s="22" t="str">
        <x:v>preserve_URL_and_correct_content</x:v>
      </x:c>
    </x:row>
    <x:row r="117" ht="44" customHeight="1">
      <x:c r="A117" s="22" t="str">
        <x:v>/chords/e-sus2</x:v>
      </x:c>
      <x:c r="B117" s="22" t="str">
        <x:v>detail</x:v>
      </x:c>
      <x:c r="C117" s="22" t="str">
        <x:v>N2B</x:v>
      </x:c>
      <x:c r="D117" s="23" t="b">
        <x:v>0</x:v>
      </x:c>
      <x:c r="E117" s="22"/>
      <x:c r="F117" s="22"/>
      <x:c r="G117" s="22"/>
      <x:c r="H117" s="22" t="str">
        <x:v>reported_implemented</x:v>
      </x:c>
      <x:c r="I117" s="22" t="str">
        <x:v>not_independently_verified</x:v>
      </x:c>
      <x:c r="J117" s="22" t="str">
        <x:v>preserve_URL_and_correct_content</x:v>
      </x:c>
    </x:row>
    <x:row r="118" ht="44" customHeight="1">
      <x:c r="A118" s="22" t="str">
        <x:v>/chords/e-sus4</x:v>
      </x:c>
      <x:c r="B118" s="22" t="str">
        <x:v>detail</x:v>
      </x:c>
      <x:c r="C118" s="22" t="str">
        <x:v>N2B</x:v>
      </x:c>
      <x:c r="D118" s="23" t="b">
        <x:v>0</x:v>
      </x:c>
      <x:c r="E118" s="22"/>
      <x:c r="F118" s="22"/>
      <x:c r="G118" s="22"/>
      <x:c r="H118" s="22" t="str">
        <x:v>reported_implemented</x:v>
      </x:c>
      <x:c r="I118" s="22" t="str">
        <x:v>not_independently_verified</x:v>
      </x:c>
      <x:c r="J118" s="22" t="str">
        <x:v>preserve_URL_and_correct_content</x:v>
      </x:c>
    </x:row>
    <x:row r="119" ht="44" customHeight="1">
      <x:c r="A119" s="22" t="str">
        <x:v>/chords/f-7</x:v>
      </x:c>
      <x:c r="B119" s="22" t="str">
        <x:v>detail</x:v>
      </x:c>
      <x:c r="C119" s="22" t="str">
        <x:v>N2C</x:v>
      </x:c>
      <x:c r="D119" s="23" t="b">
        <x:v>0</x:v>
      </x:c>
      <x:c r="E119" s="22"/>
      <x:c r="F119" s="22"/>
      <x:c r="G119" s="22"/>
      <x:c r="H119" s="22" t="str">
        <x:v>reported_implemented</x:v>
      </x:c>
      <x:c r="I119" s="22" t="str">
        <x:v>not_independently_verified</x:v>
      </x:c>
      <x:c r="J119" s="22" t="str">
        <x:v>preserve_URL_and_correct_content</x:v>
      </x:c>
    </x:row>
    <x:row r="120" ht="44" customHeight="1">
      <x:c r="A120" s="22" t="str">
        <x:v>/chords/f-add9</x:v>
      </x:c>
      <x:c r="B120" s="22" t="str">
        <x:v>detail</x:v>
      </x:c>
      <x:c r="C120" s="22" t="str">
        <x:v>N2D_v2</x:v>
      </x:c>
      <x:c r="D120" s="23" t="b">
        <x:v>0</x:v>
      </x:c>
      <x:c r="E120" s="22"/>
      <x:c r="F120" s="22"/>
      <x:c r="G120" s="22"/>
      <x:c r="H120" s="22" t="str">
        <x:v>reported_implemented</x:v>
      </x:c>
      <x:c r="I120" s="22" t="str">
        <x:v>not_independently_verified</x:v>
      </x:c>
      <x:c r="J120" s="22" t="str">
        <x:v>preserve_URL_and_correct_content</x:v>
      </x:c>
    </x:row>
    <x:row r="121" ht="44" customHeight="1">
      <x:c r="A121" s="22" t="str">
        <x:v>/chords/f-augmented</x:v>
      </x:c>
      <x:c r="B121" s="22" t="str">
        <x:v>detail</x:v>
      </x:c>
      <x:c r="C121" s="22" t="str">
        <x:v>N2B</x:v>
      </x:c>
      <x:c r="D121" s="23" t="b">
        <x:v>0</x:v>
      </x:c>
      <x:c r="E121" s="22"/>
      <x:c r="F121" s="22"/>
      <x:c r="G121" s="22"/>
      <x:c r="H121" s="22" t="str">
        <x:v>reported_implemented</x:v>
      </x:c>
      <x:c r="I121" s="22" t="str">
        <x:v>not_independently_verified</x:v>
      </x:c>
      <x:c r="J121" s="22" t="str">
        <x:v>preserve_URL_and_correct_content</x:v>
      </x:c>
    </x:row>
    <x:row r="122" ht="44" customHeight="1">
      <x:c r="A122" s="22" t="str">
        <x:v>/chords/f-diminished</x:v>
      </x:c>
      <x:c r="B122" s="22" t="str">
        <x:v>detail</x:v>
      </x:c>
      <x:c r="C122" s="22" t="str">
        <x:v>N2B</x:v>
      </x:c>
      <x:c r="D122" s="23" t="b">
        <x:v>0</x:v>
      </x:c>
      <x:c r="E122" s="22"/>
      <x:c r="F122" s="22"/>
      <x:c r="G122" s="22"/>
      <x:c r="H122" s="22" t="str">
        <x:v>reported_implemented</x:v>
      </x:c>
      <x:c r="I122" s="22" t="str">
        <x:v>not_independently_verified</x:v>
      </x:c>
      <x:c r="J122" s="22" t="str">
        <x:v>preserve_URL_and_correct_content</x:v>
      </x:c>
    </x:row>
    <x:row r="123" ht="44" customHeight="1">
      <x:c r="A123" s="22" t="str">
        <x:v>/chords/f-m7</x:v>
      </x:c>
      <x:c r="B123" s="22" t="str">
        <x:v>detail</x:v>
      </x:c>
      <x:c r="C123" s="22" t="str">
        <x:v>N2C</x:v>
      </x:c>
      <x:c r="D123" s="23" t="b">
        <x:v>0</x:v>
      </x:c>
      <x:c r="E123" s="22"/>
      <x:c r="F123" s="22"/>
      <x:c r="G123" s="22"/>
      <x:c r="H123" s="22" t="str">
        <x:v>reported_implemented</x:v>
      </x:c>
      <x:c r="I123" s="22" t="str">
        <x:v>not_independently_verified</x:v>
      </x:c>
      <x:c r="J123" s="22" t="str">
        <x:v>preserve_URL_and_correct_content</x:v>
      </x:c>
    </x:row>
    <x:row r="124" ht="44" customHeight="1">
      <x:c r="A124" s="22" t="str">
        <x:v>/chords/f-m7-flat5</x:v>
      </x:c>
      <x:c r="B124" s="22" t="str">
        <x:v>detail</x:v>
      </x:c>
      <x:c r="C124" s="22" t="str">
        <x:v>N2C</x:v>
      </x:c>
      <x:c r="D124" s="23" t="b">
        <x:v>0</x:v>
      </x:c>
      <x:c r="E124" s="22"/>
      <x:c r="F124" s="22"/>
      <x:c r="G124" s="22"/>
      <x:c r="H124" s="22" t="str">
        <x:v>reported_implemented</x:v>
      </x:c>
      <x:c r="I124" s="22" t="str">
        <x:v>not_independently_verified</x:v>
      </x:c>
      <x:c r="J124" s="22" t="str">
        <x:v>preserve_URL_and_correct_content</x:v>
      </x:c>
    </x:row>
    <x:row r="125" ht="44" customHeight="1">
      <x:c r="A125" s="22" t="str">
        <x:v>/chords/f-madd9</x:v>
      </x:c>
      <x:c r="B125" s="22" t="str">
        <x:v>detail</x:v>
      </x:c>
      <x:c r="C125" s="22" t="str">
        <x:v>N2D_v2</x:v>
      </x:c>
      <x:c r="D125" s="23" t="b">
        <x:v>0</x:v>
      </x:c>
      <x:c r="E125" s="22"/>
      <x:c r="F125" s="22"/>
      <x:c r="G125" s="22"/>
      <x:c r="H125" s="22" t="str">
        <x:v>reported_implemented</x:v>
      </x:c>
      <x:c r="I125" s="22" t="str">
        <x:v>not_independently_verified</x:v>
      </x:c>
      <x:c r="J125" s="22" t="str">
        <x:v>preserve_URL_and_correct_content</x:v>
      </x:c>
    </x:row>
    <x:row r="126" ht="44" customHeight="1">
      <x:c r="A126" s="22" t="str">
        <x:v>/chords/f-maj7</x:v>
      </x:c>
      <x:c r="B126" s="22" t="str">
        <x:v>detail</x:v>
      </x:c>
      <x:c r="C126" s="22" t="str">
        <x:v>N2C</x:v>
      </x:c>
      <x:c r="D126" s="23" t="b">
        <x:v>0</x:v>
      </x:c>
      <x:c r="E126" s="22"/>
      <x:c r="F126" s="22"/>
      <x:c r="G126" s="22"/>
      <x:c r="H126" s="22" t="str">
        <x:v>reported_implemented</x:v>
      </x:c>
      <x:c r="I126" s="22" t="str">
        <x:v>not_independently_verified</x:v>
      </x:c>
      <x:c r="J126" s="22" t="str">
        <x:v>preserve_URL_and_correct_content</x:v>
      </x:c>
    </x:row>
    <x:row r="127" ht="44" customHeight="1">
      <x:c r="A127" s="22" t="str">
        <x:v>/chords/f-major</x:v>
      </x:c>
      <x:c r="B127" s="22" t="str">
        <x:v>detail</x:v>
      </x:c>
      <x:c r="C127" s="22" t="str">
        <x:v>N1</x:v>
      </x:c>
      <x:c r="D127" s="23" t="b">
        <x:v>0</x:v>
      </x:c>
      <x:c r="E127" s="22"/>
      <x:c r="F127" s="22"/>
      <x:c r="G127" s="22"/>
      <x:c r="H127" s="22" t="str">
        <x:v>reported_implemented</x:v>
      </x:c>
      <x:c r="I127" s="22" t="str">
        <x:v>not_independently_verified</x:v>
      </x:c>
      <x:c r="J127" s="22" t="str">
        <x:v>preserve_URL_and_correct_content</x:v>
      </x:c>
    </x:row>
    <x:row r="128" ht="44" customHeight="1">
      <x:c r="A128" s="22" t="str">
        <x:v>/chords/f-minor</x:v>
      </x:c>
      <x:c r="B128" s="22" t="str">
        <x:v>detail</x:v>
      </x:c>
      <x:c r="C128" s="22" t="str">
        <x:v>N1</x:v>
      </x:c>
      <x:c r="D128" s="23" t="b">
        <x:v>0</x:v>
      </x:c>
      <x:c r="E128" s="22"/>
      <x:c r="F128" s="22"/>
      <x:c r="G128" s="22"/>
      <x:c r="H128" s="22" t="str">
        <x:v>reported_implemented</x:v>
      </x:c>
      <x:c r="I128" s="22" t="str">
        <x:v>not_independently_verified</x:v>
      </x:c>
      <x:c r="J128" s="22" t="str">
        <x:v>preserve_URL_and_correct_content</x:v>
      </x:c>
    </x:row>
    <x:row r="129" ht="44" customHeight="1">
      <x:c r="A129" s="22" t="str">
        <x:v>/chords/f-sharp-7</x:v>
      </x:c>
      <x:c r="B129" s="22" t="str">
        <x:v>detail</x:v>
      </x:c>
      <x:c r="C129" s="22" t="str">
        <x:v>N2C</x:v>
      </x:c>
      <x:c r="D129" s="23" t="b">
        <x:v>0</x:v>
      </x:c>
      <x:c r="E129" s="22"/>
      <x:c r="F129" s="22"/>
      <x:c r="G129" s="22"/>
      <x:c r="H129" s="22" t="str">
        <x:v>reported_implemented</x:v>
      </x:c>
      <x:c r="I129" s="22" t="str">
        <x:v>not_independently_verified</x:v>
      </x:c>
      <x:c r="J129" s="22" t="str">
        <x:v>preserve_URL_and_correct_content</x:v>
      </x:c>
    </x:row>
    <x:row r="130" ht="44" customHeight="1">
      <x:c r="A130" s="22" t="str">
        <x:v>/chords/f-sharp-add9</x:v>
      </x:c>
      <x:c r="B130" s="22" t="str">
        <x:v>detail</x:v>
      </x:c>
      <x:c r="C130" s="22" t="str">
        <x:v>N2D_v2</x:v>
      </x:c>
      <x:c r="D130" s="23" t="b">
        <x:v>0</x:v>
      </x:c>
      <x:c r="E130" s="22"/>
      <x:c r="F130" s="22"/>
      <x:c r="G130" s="22"/>
      <x:c r="H130" s="22" t="str">
        <x:v>reported_implemented</x:v>
      </x:c>
      <x:c r="I130" s="22" t="str">
        <x:v>not_independently_verified</x:v>
      </x:c>
      <x:c r="J130" s="22" t="str">
        <x:v>preserve_URL_and_correct_content</x:v>
      </x:c>
    </x:row>
    <x:row r="131" ht="44" customHeight="1">
      <x:c r="A131" s="22" t="str">
        <x:v>/chords/f-sharp-augmented</x:v>
      </x:c>
      <x:c r="B131" s="22" t="str">
        <x:v>detail</x:v>
      </x:c>
      <x:c r="C131" s="22" t="str">
        <x:v>N2B</x:v>
      </x:c>
      <x:c r="D131" s="23" t="b">
        <x:v>0</x:v>
      </x:c>
      <x:c r="E131" s="22"/>
      <x:c r="F131" s="22"/>
      <x:c r="G131" s="22"/>
      <x:c r="H131" s="22" t="str">
        <x:v>reported_implemented</x:v>
      </x:c>
      <x:c r="I131" s="22" t="str">
        <x:v>not_independently_verified</x:v>
      </x:c>
      <x:c r="J131" s="22" t="str">
        <x:v>preserve_URL_and_correct_content</x:v>
      </x:c>
    </x:row>
    <x:row r="132" ht="44" customHeight="1">
      <x:c r="A132" s="22" t="str">
        <x:v>/chords/f-sharp-diminished</x:v>
      </x:c>
      <x:c r="B132" s="22" t="str">
        <x:v>detail</x:v>
      </x:c>
      <x:c r="C132" s="22" t="str">
        <x:v>N2B</x:v>
      </x:c>
      <x:c r="D132" s="23" t="b">
        <x:v>0</x:v>
      </x:c>
      <x:c r="E132" s="22"/>
      <x:c r="F132" s="22"/>
      <x:c r="G132" s="22"/>
      <x:c r="H132" s="22" t="str">
        <x:v>reported_implemented</x:v>
      </x:c>
      <x:c r="I132" s="22" t="str">
        <x:v>not_independently_verified</x:v>
      </x:c>
      <x:c r="J132" s="22" t="str">
        <x:v>preserve_URL_and_correct_content</x:v>
      </x:c>
    </x:row>
    <x:row r="133" ht="44" customHeight="1">
      <x:c r="A133" s="22" t="str">
        <x:v>/chords/f-sharp-m7</x:v>
      </x:c>
      <x:c r="B133" s="22" t="str">
        <x:v>detail</x:v>
      </x:c>
      <x:c r="C133" s="22" t="str">
        <x:v>N2C</x:v>
      </x:c>
      <x:c r="D133" s="23" t="b">
        <x:v>0</x:v>
      </x:c>
      <x:c r="E133" s="22"/>
      <x:c r="F133" s="22"/>
      <x:c r="G133" s="22"/>
      <x:c r="H133" s="22" t="str">
        <x:v>reported_implemented</x:v>
      </x:c>
      <x:c r="I133" s="22" t="str">
        <x:v>not_independently_verified</x:v>
      </x:c>
      <x:c r="J133" s="22" t="str">
        <x:v>preserve_URL_and_correct_content</x:v>
      </x:c>
    </x:row>
    <x:row r="134" ht="44" customHeight="1">
      <x:c r="A134" s="22" t="str">
        <x:v>/chords/f-sharp-m7-flat5</x:v>
      </x:c>
      <x:c r="B134" s="22" t="str">
        <x:v>detail</x:v>
      </x:c>
      <x:c r="C134" s="22" t="str">
        <x:v>N2C</x:v>
      </x:c>
      <x:c r="D134" s="23" t="b">
        <x:v>0</x:v>
      </x:c>
      <x:c r="E134" s="22"/>
      <x:c r="F134" s="22"/>
      <x:c r="G134" s="22"/>
      <x:c r="H134" s="22" t="str">
        <x:v>reported_implemented</x:v>
      </x:c>
      <x:c r="I134" s="22" t="str">
        <x:v>not_independently_verified</x:v>
      </x:c>
      <x:c r="J134" s="22" t="str">
        <x:v>preserve_URL_and_correct_content</x:v>
      </x:c>
    </x:row>
    <x:row r="135" ht="44" customHeight="1">
      <x:c r="A135" s="22" t="str">
        <x:v>/chords/f-sharp-madd9</x:v>
      </x:c>
      <x:c r="B135" s="22" t="str">
        <x:v>detail</x:v>
      </x:c>
      <x:c r="C135" s="22" t="str">
        <x:v>N2D_v2</x:v>
      </x:c>
      <x:c r="D135" s="23" t="b">
        <x:v>0</x:v>
      </x:c>
      <x:c r="E135" s="22"/>
      <x:c r="F135" s="22"/>
      <x:c r="G135" s="22"/>
      <x:c r="H135" s="22" t="str">
        <x:v>reported_implemented</x:v>
      </x:c>
      <x:c r="I135" s="22" t="str">
        <x:v>not_independently_verified</x:v>
      </x:c>
      <x:c r="J135" s="22" t="str">
        <x:v>preserve_URL_and_correct_content</x:v>
      </x:c>
    </x:row>
    <x:row r="136" ht="44" customHeight="1">
      <x:c r="A136" s="22" t="str">
        <x:v>/chords/f-sharp-maj7</x:v>
      </x:c>
      <x:c r="B136" s="22" t="str">
        <x:v>detail</x:v>
      </x:c>
      <x:c r="C136" s="22" t="str">
        <x:v>N2C</x:v>
      </x:c>
      <x:c r="D136" s="23" t="b">
        <x:v>0</x:v>
      </x:c>
      <x:c r="E136" s="22"/>
      <x:c r="F136" s="22"/>
      <x:c r="G136" s="22"/>
      <x:c r="H136" s="22" t="str">
        <x:v>reported_implemented</x:v>
      </x:c>
      <x:c r="I136" s="22" t="str">
        <x:v>not_independently_verified</x:v>
      </x:c>
      <x:c r="J136" s="22" t="str">
        <x:v>preserve_URL_and_correct_content</x:v>
      </x:c>
    </x:row>
    <x:row r="137" ht="44" customHeight="1">
      <x:c r="A137" s="22" t="str">
        <x:v>/chords/f-sharp-major</x:v>
      </x:c>
      <x:c r="B137" s="22" t="str">
        <x:v>detail</x:v>
      </x:c>
      <x:c r="C137" s="22" t="str">
        <x:v>N1</x:v>
      </x:c>
      <x:c r="D137" s="23" t="b">
        <x:v>0</x:v>
      </x:c>
      <x:c r="E137" s="22"/>
      <x:c r="F137" s="22"/>
      <x:c r="G137" s="22"/>
      <x:c r="H137" s="22" t="str">
        <x:v>reported_implemented</x:v>
      </x:c>
      <x:c r="I137" s="22" t="str">
        <x:v>not_independently_verified</x:v>
      </x:c>
      <x:c r="J137" s="22" t="str">
        <x:v>preserve_URL_and_correct_content</x:v>
      </x:c>
    </x:row>
    <x:row r="138" ht="44" customHeight="1">
      <x:c r="A138" s="22" t="str">
        <x:v>/chords/f-sharp-minor</x:v>
      </x:c>
      <x:c r="B138" s="22" t="str">
        <x:v>detail</x:v>
      </x:c>
      <x:c r="C138" s="22" t="str">
        <x:v>N1</x:v>
      </x:c>
      <x:c r="D138" s="23" t="b">
        <x:v>0</x:v>
      </x:c>
      <x:c r="E138" s="22"/>
      <x:c r="F138" s="22"/>
      <x:c r="G138" s="22"/>
      <x:c r="H138" s="22" t="str">
        <x:v>reported_implemented</x:v>
      </x:c>
      <x:c r="I138" s="22" t="str">
        <x:v>not_independently_verified</x:v>
      </x:c>
      <x:c r="J138" s="22" t="str">
        <x:v>preserve_URL_and_correct_content</x:v>
      </x:c>
    </x:row>
    <x:row r="139" ht="44" customHeight="1">
      <x:c r="A139" s="22" t="str">
        <x:v>/chords/f-sharp-sus2</x:v>
      </x:c>
      <x:c r="B139" s="22" t="str">
        <x:v>detail</x:v>
      </x:c>
      <x:c r="C139" s="22" t="str">
        <x:v>N2B</x:v>
      </x:c>
      <x:c r="D139" s="23" t="b">
        <x:v>0</x:v>
      </x:c>
      <x:c r="E139" s="22"/>
      <x:c r="F139" s="22"/>
      <x:c r="G139" s="22"/>
      <x:c r="H139" s="22" t="str">
        <x:v>reported_implemented</x:v>
      </x:c>
      <x:c r="I139" s="22" t="str">
        <x:v>not_independently_verified</x:v>
      </x:c>
      <x:c r="J139" s="22" t="str">
        <x:v>preserve_URL_and_correct_content</x:v>
      </x:c>
    </x:row>
    <x:row r="140" ht="44" customHeight="1">
      <x:c r="A140" s="22" t="str">
        <x:v>/chords/f-sharp-sus4</x:v>
      </x:c>
      <x:c r="B140" s="22" t="str">
        <x:v>detail</x:v>
      </x:c>
      <x:c r="C140" s="22" t="str">
        <x:v>N2B</x:v>
      </x:c>
      <x:c r="D140" s="23" t="b">
        <x:v>0</x:v>
      </x:c>
      <x:c r="E140" s="22"/>
      <x:c r="F140" s="22"/>
      <x:c r="G140" s="22"/>
      <x:c r="H140" s="22" t="str">
        <x:v>reported_implemented</x:v>
      </x:c>
      <x:c r="I140" s="22" t="str">
        <x:v>not_independently_verified</x:v>
      </x:c>
      <x:c r="J140" s="22" t="str">
        <x:v>preserve_URL_and_correct_content</x:v>
      </x:c>
    </x:row>
    <x:row r="141" ht="44" customHeight="1">
      <x:c r="A141" s="22" t="str">
        <x:v>/chords/f-sus2</x:v>
      </x:c>
      <x:c r="B141" s="22" t="str">
        <x:v>detail</x:v>
      </x:c>
      <x:c r="C141" s="22" t="str">
        <x:v>N2B</x:v>
      </x:c>
      <x:c r="D141" s="23" t="b">
        <x:v>0</x:v>
      </x:c>
      <x:c r="E141" s="22"/>
      <x:c r="F141" s="22"/>
      <x:c r="G141" s="22"/>
      <x:c r="H141" s="22" t="str">
        <x:v>reported_implemented</x:v>
      </x:c>
      <x:c r="I141" s="22" t="str">
        <x:v>not_independently_verified</x:v>
      </x:c>
      <x:c r="J141" s="22" t="str">
        <x:v>preserve_URL_and_correct_content</x:v>
      </x:c>
    </x:row>
    <x:row r="142" ht="44" customHeight="1">
      <x:c r="A142" s="22" t="str">
        <x:v>/chords/f-sus4</x:v>
      </x:c>
      <x:c r="B142" s="22" t="str">
        <x:v>detail</x:v>
      </x:c>
      <x:c r="C142" s="22" t="str">
        <x:v>N2B</x:v>
      </x:c>
      <x:c r="D142" s="23" t="b">
        <x:v>0</x:v>
      </x:c>
      <x:c r="E142" s="22"/>
      <x:c r="F142" s="22"/>
      <x:c r="G142" s="22"/>
      <x:c r="H142" s="22" t="str">
        <x:v>reported_implemented</x:v>
      </x:c>
      <x:c r="I142" s="22" t="str">
        <x:v>not_independently_verified</x:v>
      </x:c>
      <x:c r="J142" s="22" t="str">
        <x:v>preserve_URL_and_correct_content</x:v>
      </x:c>
    </x:row>
    <x:row r="143" ht="44" customHeight="1">
      <x:c r="A143" s="22" t="str">
        <x:v>/chords/finder</x:v>
      </x:c>
      <x:c r="B143" s="22" t="str">
        <x:v>support</x:v>
      </x:c>
      <x:c r="C143" s="22" t="str">
        <x:v>original15</x:v>
      </x:c>
      <x:c r="D143" s="23" t="b">
        <x:v>1</x:v>
      </x:c>
      <x:c r="E143" s="22" t="str">
        <x:v>U086</x:v>
      </x:c>
      <x:c r="F143" s="22" t="str">
        <x:v>chord finder piano</x:v>
      </x:c>
      <x:c r="G143" s="22" t="n">
        <x:v>1300</x:v>
      </x:c>
      <x:c r="H143" s="22" t="str">
        <x:v>reported_implemented</x:v>
      </x:c>
      <x:c r="I143" s="22" t="str">
        <x:v>not_independently_verified</x:v>
      </x:c>
      <x:c r="J143" s="22" t="str">
        <x:v>preserve_URL_and_correct_content</x:v>
      </x:c>
    </x:row>
    <x:row r="144" ht="44" customHeight="1">
      <x:c r="A144" s="22" t="str">
        <x:v>/chords/g-7</x:v>
      </x:c>
      <x:c r="B144" s="22" t="str">
        <x:v>detail</x:v>
      </x:c>
      <x:c r="C144" s="22" t="str">
        <x:v>N2C</x:v>
      </x:c>
      <x:c r="D144" s="23" t="b">
        <x:v>0</x:v>
      </x:c>
      <x:c r="E144" s="22"/>
      <x:c r="F144" s="22"/>
      <x:c r="G144" s="22"/>
      <x:c r="H144" s="22" t="str">
        <x:v>reported_implemented</x:v>
      </x:c>
      <x:c r="I144" s="22" t="str">
        <x:v>not_independently_verified</x:v>
      </x:c>
      <x:c r="J144" s="22" t="str">
        <x:v>preserve_URL_and_correct_content</x:v>
      </x:c>
    </x:row>
    <x:row r="145" ht="44" customHeight="1">
      <x:c r="A145" s="22" t="str">
        <x:v>/chords/g-add9</x:v>
      </x:c>
      <x:c r="B145" s="22" t="str">
        <x:v>detail</x:v>
      </x:c>
      <x:c r="C145" s="22" t="str">
        <x:v>N2D_v2</x:v>
      </x:c>
      <x:c r="D145" s="23" t="b">
        <x:v>0</x:v>
      </x:c>
      <x:c r="E145" s="22"/>
      <x:c r="F145" s="22"/>
      <x:c r="G145" s="22"/>
      <x:c r="H145" s="22" t="str">
        <x:v>reported_implemented</x:v>
      </x:c>
      <x:c r="I145" s="22" t="str">
        <x:v>not_independently_verified</x:v>
      </x:c>
      <x:c r="J145" s="22" t="str">
        <x:v>preserve_URL_and_correct_content</x:v>
      </x:c>
    </x:row>
    <x:row r="146" ht="44" customHeight="1">
      <x:c r="A146" s="22" t="str">
        <x:v>/chords/g-augmented</x:v>
      </x:c>
      <x:c r="B146" s="22" t="str">
        <x:v>detail</x:v>
      </x:c>
      <x:c r="C146" s="22" t="str">
        <x:v>N2B</x:v>
      </x:c>
      <x:c r="D146" s="23" t="b">
        <x:v>0</x:v>
      </x:c>
      <x:c r="E146" s="22"/>
      <x:c r="F146" s="22"/>
      <x:c r="G146" s="22"/>
      <x:c r="H146" s="22" t="str">
        <x:v>reported_implemented</x:v>
      </x:c>
      <x:c r="I146" s="22" t="str">
        <x:v>not_independently_verified</x:v>
      </x:c>
      <x:c r="J146" s="22" t="str">
        <x:v>preserve_URL_and_correct_content</x:v>
      </x:c>
    </x:row>
    <x:row r="147" ht="44" customHeight="1">
      <x:c r="A147" s="22" t="str">
        <x:v>/chords/g-diminished</x:v>
      </x:c>
      <x:c r="B147" s="22" t="str">
        <x:v>detail</x:v>
      </x:c>
      <x:c r="C147" s="22" t="str">
        <x:v>N2B</x:v>
      </x:c>
      <x:c r="D147" s="23" t="b">
        <x:v>0</x:v>
      </x:c>
      <x:c r="E147" s="22"/>
      <x:c r="F147" s="22"/>
      <x:c r="G147" s="22"/>
      <x:c r="H147" s="22" t="str">
        <x:v>reported_implemented</x:v>
      </x:c>
      <x:c r="I147" s="22" t="str">
        <x:v>not_independently_verified</x:v>
      </x:c>
      <x:c r="J147" s="22" t="str">
        <x:v>preserve_URL_and_correct_content</x:v>
      </x:c>
    </x:row>
    <x:row r="148" ht="44" customHeight="1">
      <x:c r="A148" s="22" t="str">
        <x:v>/chords/g-m7</x:v>
      </x:c>
      <x:c r="B148" s="22" t="str">
        <x:v>detail</x:v>
      </x:c>
      <x:c r="C148" s="22" t="str">
        <x:v>N2C</x:v>
      </x:c>
      <x:c r="D148" s="23" t="b">
        <x:v>0</x:v>
      </x:c>
      <x:c r="E148" s="22"/>
      <x:c r="F148" s="22"/>
      <x:c r="G148" s="22"/>
      <x:c r="H148" s="22" t="str">
        <x:v>reported_implemented</x:v>
      </x:c>
      <x:c r="I148" s="22" t="str">
        <x:v>not_independently_verified</x:v>
      </x:c>
      <x:c r="J148" s="22" t="str">
        <x:v>preserve_URL_and_correct_content</x:v>
      </x:c>
    </x:row>
    <x:row r="149" ht="44" customHeight="1">
      <x:c r="A149" s="22" t="str">
        <x:v>/chords/g-m7-flat5</x:v>
      </x:c>
      <x:c r="B149" s="22" t="str">
        <x:v>detail</x:v>
      </x:c>
      <x:c r="C149" s="22" t="str">
        <x:v>N2C</x:v>
      </x:c>
      <x:c r="D149" s="23" t="b">
        <x:v>0</x:v>
      </x:c>
      <x:c r="E149" s="22"/>
      <x:c r="F149" s="22"/>
      <x:c r="G149" s="22"/>
      <x:c r="H149" s="22" t="str">
        <x:v>reported_implemented</x:v>
      </x:c>
      <x:c r="I149" s="22" t="str">
        <x:v>not_independently_verified</x:v>
      </x:c>
      <x:c r="J149" s="22" t="str">
        <x:v>preserve_URL_and_correct_content</x:v>
      </x:c>
    </x:row>
    <x:row r="150" ht="44" customHeight="1">
      <x:c r="A150" s="22" t="str">
        <x:v>/chords/g-madd9</x:v>
      </x:c>
      <x:c r="B150" s="22" t="str">
        <x:v>detail</x:v>
      </x:c>
      <x:c r="C150" s="22" t="str">
        <x:v>N2D_v2</x:v>
      </x:c>
      <x:c r="D150" s="23" t="b">
        <x:v>0</x:v>
      </x:c>
      <x:c r="E150" s="22"/>
      <x:c r="F150" s="22"/>
      <x:c r="G150" s="22"/>
      <x:c r="H150" s="22" t="str">
        <x:v>reported_implemented</x:v>
      </x:c>
      <x:c r="I150" s="22" t="str">
        <x:v>not_independently_verified</x:v>
      </x:c>
      <x:c r="J150" s="22" t="str">
        <x:v>preserve_URL_and_correct_content</x:v>
      </x:c>
    </x:row>
    <x:row r="151" ht="44" customHeight="1">
      <x:c r="A151" s="22" t="str">
        <x:v>/chords/g-maj7</x:v>
      </x:c>
      <x:c r="B151" s="22" t="str">
        <x:v>detail</x:v>
      </x:c>
      <x:c r="C151" s="22" t="str">
        <x:v>N2C</x:v>
      </x:c>
      <x:c r="D151" s="23" t="b">
        <x:v>0</x:v>
      </x:c>
      <x:c r="E151" s="22"/>
      <x:c r="F151" s="22"/>
      <x:c r="G151" s="22"/>
      <x:c r="H151" s="22" t="str">
        <x:v>reported_implemented</x:v>
      </x:c>
      <x:c r="I151" s="22" t="str">
        <x:v>not_independently_verified</x:v>
      </x:c>
      <x:c r="J151" s="22" t="str">
        <x:v>preserve_URL_and_correct_content</x:v>
      </x:c>
    </x:row>
    <x:row r="152" ht="44" customHeight="1">
      <x:c r="A152" s="22" t="str">
        <x:v>/chords/g-major</x:v>
      </x:c>
      <x:c r="B152" s="22" t="str">
        <x:v>detail</x:v>
      </x:c>
      <x:c r="C152" s="22" t="str">
        <x:v>original15</x:v>
      </x:c>
      <x:c r="D152" s="23" t="b">
        <x:v>1</x:v>
      </x:c>
      <x:c r="E152" s="22" t="str">
        <x:v>U084</x:v>
      </x:c>
      <x:c r="F152" s="22" t="str">
        <x:v>g chord piano</x:v>
      </x:c>
      <x:c r="G152" s="22"/>
      <x:c r="H152" s="22" t="str">
        <x:v>reported_implemented</x:v>
      </x:c>
      <x:c r="I152" s="22" t="str">
        <x:v>not_independently_verified</x:v>
      </x:c>
      <x:c r="J152" s="22" t="str">
        <x:v>preserve_URL_and_correct_content</x:v>
      </x:c>
    </x:row>
    <x:row r="153" ht="44" customHeight="1">
      <x:c r="A153" s="22" t="str">
        <x:v>/chords/g-minor</x:v>
      </x:c>
      <x:c r="B153" s="22" t="str">
        <x:v>detail</x:v>
      </x:c>
      <x:c r="C153" s="22" t="str">
        <x:v>N1</x:v>
      </x:c>
      <x:c r="D153" s="23" t="b">
        <x:v>0</x:v>
      </x:c>
      <x:c r="E153" s="22"/>
      <x:c r="F153" s="22"/>
      <x:c r="G153" s="22"/>
      <x:c r="H153" s="22" t="str">
        <x:v>reported_implemented</x:v>
      </x:c>
      <x:c r="I153" s="22" t="str">
        <x:v>not_independently_verified</x:v>
      </x:c>
      <x:c r="J153" s="22" t="str">
        <x:v>preserve_URL_and_correct_content</x:v>
      </x:c>
    </x:row>
    <x:row r="154" ht="44" customHeight="1">
      <x:c r="A154" s="22" t="str">
        <x:v>/chords/g-sharp-minor</x:v>
      </x:c>
      <x:c r="B154" s="22" t="str">
        <x:v>detail</x:v>
      </x:c>
      <x:c r="C154" s="22" t="str">
        <x:v>N1</x:v>
      </x:c>
      <x:c r="D154" s="23" t="b">
        <x:v>0</x:v>
      </x:c>
      <x:c r="E154" s="22"/>
      <x:c r="F154" s="22"/>
      <x:c r="G154" s="22"/>
      <x:c r="H154" s="22" t="str">
        <x:v>reported_implemented</x:v>
      </x:c>
      <x:c r="I154" s="22" t="str">
        <x:v>not_independently_verified</x:v>
      </x:c>
      <x:c r="J154" s="22" t="str">
        <x:v>preserve_URL_and_correct_content</x:v>
      </x:c>
    </x:row>
    <x:row r="155" ht="44" customHeight="1">
      <x:c r="A155" s="22" t="str">
        <x:v>/chords/g-sus2</x:v>
      </x:c>
      <x:c r="B155" s="22" t="str">
        <x:v>detail</x:v>
      </x:c>
      <x:c r="C155" s="22" t="str">
        <x:v>N2B</x:v>
      </x:c>
      <x:c r="D155" s="23" t="b">
        <x:v>0</x:v>
      </x:c>
      <x:c r="E155" s="22"/>
      <x:c r="F155" s="22"/>
      <x:c r="G155" s="22"/>
      <x:c r="H155" s="22" t="str">
        <x:v>reported_implemented</x:v>
      </x:c>
      <x:c r="I155" s="22" t="str">
        <x:v>not_independently_verified</x:v>
      </x:c>
      <x:c r="J155" s="22" t="str">
        <x:v>preserve_URL_and_correct_content</x:v>
      </x:c>
    </x:row>
    <x:row r="156" ht="44" customHeight="1">
      <x:c r="A156" s="22" t="str">
        <x:v>/chords/g-sus4</x:v>
      </x:c>
      <x:c r="B156" s="22" t="str">
        <x:v>detail</x:v>
      </x:c>
      <x:c r="C156" s="22" t="str">
        <x:v>N2B</x:v>
      </x:c>
      <x:c r="D156" s="23" t="b">
        <x:v>0</x:v>
      </x:c>
      <x:c r="E156" s="22"/>
      <x:c r="F156" s="22"/>
      <x:c r="G156" s="22"/>
      <x:c r="H156" s="22" t="str">
        <x:v>reported_implemented</x:v>
      </x:c>
      <x:c r="I156" s="22" t="str">
        <x:v>not_independently_verified</x:v>
      </x:c>
      <x:c r="J156" s="22" t="str">
        <x:v>preserve_URL_and_correct_content</x:v>
      </x:c>
    </x:row>
    <x:row r="157" ht="44" customHeight="1">
      <x:c r="A157" s="22" t="str">
        <x:v>/chords/major</x:v>
      </x:c>
      <x:c r="B157" s="22" t="str">
        <x:v>category</x:v>
      </x:c>
      <x:c r="C157" s="22" t="str">
        <x:v>N1</x:v>
      </x:c>
      <x:c r="D157" s="23" t="b">
        <x:v>0</x:v>
      </x:c>
      <x:c r="E157" s="22"/>
      <x:c r="F157" s="22"/>
      <x:c r="G157" s="22"/>
      <x:c r="H157" s="22" t="str">
        <x:v>reported_implemented</x:v>
      </x:c>
      <x:c r="I157" s="22" t="str">
        <x:v>not_independently_verified</x:v>
      </x:c>
      <x:c r="J157" s="22" t="str">
        <x:v>preserve_URL_and_correct_content</x:v>
      </x:c>
    </x:row>
    <x:row r="158" ht="44" customHeight="1">
      <x:c r="A158" s="22" t="str">
        <x:v>/chords/minor</x:v>
      </x:c>
      <x:c r="B158" s="22" t="str">
        <x:v>category</x:v>
      </x:c>
      <x:c r="C158" s="22" t="str">
        <x:v>N1</x:v>
      </x:c>
      <x:c r="D158" s="23" t="b">
        <x:v>0</x:v>
      </x:c>
      <x:c r="E158" s="22"/>
      <x:c r="F158" s="22"/>
      <x:c r="G158" s="22"/>
      <x:c r="H158" s="22" t="str">
        <x:v>reported_implemented</x:v>
      </x:c>
      <x:c r="I158" s="22" t="str">
        <x:v>not_independently_verified</x:v>
      </x:c>
      <x:c r="J158" s="22" t="str">
        <x:v>preserve_URL_and_correct_content</x:v>
      </x:c>
    </x:row>
    <x:row r="159" ht="44" customHeight="1">
      <x:c r="A159" s="22" t="str">
        <x:v>/chords/seventh</x:v>
      </x:c>
      <x:c r="B159" s="22" t="str">
        <x:v>category</x:v>
      </x:c>
      <x:c r="C159" s="22" t="str">
        <x:v>N2C</x:v>
      </x:c>
      <x:c r="D159" s="23" t="b">
        <x:v>0</x:v>
      </x:c>
      <x:c r="E159" s="22"/>
      <x:c r="F159" s="22"/>
      <x:c r="G159" s="22"/>
      <x:c r="H159" s="22" t="str">
        <x:v>reported_implemented</x:v>
      </x:c>
      <x:c r="I159" s="22" t="str">
        <x:v>not_independently_verified</x:v>
      </x:c>
      <x:c r="J159" s="22" t="str">
        <x:v>preserve_URL_and_correct_content</x:v>
      </x:c>
    </x:row>
    <x:row r="160" ht="44" customHeight="1">
      <x:c r="A160" s="22" t="str">
        <x:v>/chords/suspended</x:v>
      </x:c>
      <x:c r="B160" s="22" t="str">
        <x:v>category</x:v>
      </x:c>
      <x:c r="C160" s="22" t="str">
        <x:v>N2B</x:v>
      </x:c>
      <x:c r="D160" s="23" t="b">
        <x:v>0</x:v>
      </x:c>
      <x:c r="E160" s="22"/>
      <x:c r="F160" s="22"/>
      <x:c r="G160" s="22"/>
      <x:c r="H160" s="22" t="str">
        <x:v>reported_implemented</x:v>
      </x:c>
      <x:c r="I160" s="22" t="str">
        <x:v>not_independently_verified</x:v>
      </x:c>
      <x:c r="J160" s="22" t="str">
        <x:v>preserve_URL_and_correct_content</x:v>
      </x:c>
    </x:row>
    <x:row r="161" ht="44" customHeight="1">
      <x:c r="A161" s="22" t="str">
        <x:v>/guide/piano-chords</x:v>
      </x:c>
      <x:c r="B161" s="22" t="str">
        <x:v>support</x:v>
      </x:c>
      <x:c r="C161" s="22" t="str">
        <x:v>original15</x:v>
      </x:c>
      <x:c r="D161" s="23" t="b">
        <x:v>1</x:v>
      </x:c>
      <x:c r="E161" s="22" t="str">
        <x:v>U117</x:v>
      </x:c>
      <x:c r="F161" s="22" t="str">
        <x:v>how to play chords on piano</x:v>
      </x:c>
      <x:c r="G161" s="22" t="n">
        <x:v>1900</x:v>
      </x:c>
      <x:c r="H161" s="22" t="str">
        <x:v>reported_implemented</x:v>
      </x:c>
      <x:c r="I161" s="22" t="str">
        <x:v>not_independently_verified</x:v>
      </x:c>
      <x:c r="J161" s="22" t="str">
        <x:v>preserve_URL_and_correct_content</x:v>
      </x:c>
    </x:row>
    <x:row r="162" ht="44" customHeight="1">
      <x:c r="A162" s="22" t="str">
        <x:v>/keyboard-notes/finger-numbers</x:v>
      </x:c>
      <x:c r="B162" s="22" t="str">
        <x:v>support</x:v>
      </x:c>
      <x:c r="C162" s="22" t="str">
        <x:v>original15</x:v>
      </x:c>
      <x:c r="D162" s="23" t="b">
        <x:v>1</x:v>
      </x:c>
      <x:c r="E162" s="22" t="str">
        <x:v>U071</x:v>
      </x:c>
      <x:c r="F162" s="22" t="str">
        <x:v>piano fingering chart</x:v>
      </x:c>
      <x:c r="G162" s="22" t="n">
        <x:v>1300</x:v>
      </x:c>
      <x:c r="H162" s="22" t="str">
        <x:v>reported_implemented</x:v>
      </x:c>
      <x:c r="I162" s="22" t="str">
        <x:v>not_independently_verified</x:v>
      </x:c>
      <x:c r="J162" s="22" t="str">
        <x:v>preserve_URL_and_correct_content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099504b51d564b5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37" hidden="0" customWidth="1"/>
    <x:col min="4" max="4" width="37" hidden="0" customWidth="1"/>
    <x:col min="5" max="5" width="24" hidden="0" customWidth="1"/>
    <x:col min="6" max="6" width="35" hidden="0" customWidth="1"/>
    <x:col min="7" max="7" width="45" hidden="0" customWidth="1"/>
    <x:col min="8" max="8" width="42" hidden="0" customWidth="1"/>
  </x:cols>
  <x:sheetData>
    <x:row r="1" ht="32" customHeight="1">
      <x:c r="A1" s="3" t="str">
        <x:v>原38任务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证据口径：原规划来自附件；实现来自用户报告，待Codex以同一版本核对；预测数量不作强制指标。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4" t="str">
        <x:v>任务ID</x:v>
      </x:c>
      <x:c r="B4" s="14" t="str">
        <x:v>原代表词</x:v>
      </x:c>
      <x:c r="C4" s="14" t="str">
        <x:v>原目标</x:v>
      </x:c>
      <x:c r="D4" s="14" t="str">
        <x:v>最终目标</x:v>
      </x:c>
      <x:c r="E4" s="14" t="str">
        <x:v>当前证据</x:v>
      </x:c>
      <x:c r="F4" s="14" t="str">
        <x:v>本轮动作</x:v>
      </x:c>
      <x:c r="G4" s="14" t="str">
        <x:v>原交付要求</x:v>
      </x:c>
      <x:c r="H4" s="14" t="str">
        <x:v>验证证据路径</x:v>
      </x:c>
    </x:row>
    <x:row r="5" ht="44" customHeight="1">
      <x:c r="A5" s="22" t="str">
        <x:v>P148</x:v>
      </x:c>
      <x:c r="B5" s="22" t="str">
        <x:v>piano chord chart</x:v>
      </x:c>
      <x:c r="C5" s="22" t="str">
        <x:v>/chords</x:v>
      </x:c>
      <x:c r="D5" s="22" t="str">
        <x:v>/chords</x:v>
      </x:c>
      <x:c r="E5" s="22" t="str">
        <x:v>reported_limited</x:v>
      </x:c>
      <x:c r="F5" s="22" t="str">
        <x:v>unified_lookup_all_supported_families</x:v>
      </x:c>
      <x:c r="G5" s="22" t="str">
        <x:v>默认有图表；根音/类型选择、试听、打印及读图说明。</x:v>
      </x:c>
      <x:c r="H5" s="22" t="str">
        <x:v>checks/chords-completion/task-evidence.json</x:v>
      </x:c>
    </x:row>
    <x:row r="6" ht="44" customHeight="1">
      <x:c r="A6" s="22" t="str">
        <x:v>P154</x:v>
      </x:c>
      <x:c r="B6" s="22" t="str">
        <x:v>minor chords piano</x:v>
      </x:c>
      <x:c r="C6" s="22" t="str">
        <x:v>/chords#minor</x:v>
      </x:c>
      <x:c r="D6" s="22" t="str">
        <x:v>/chords/minor</x:v>
      </x:c>
      <x:c r="E6" s="22" t="str">
        <x:v>split_with_reported_category</x:v>
      </x:c>
      <x:c r="F6" s="22" t="str">
        <x:v>preserve_minor_anchor_and_category</x:v>
      </x:c>
      <x:c r="G6" s="22" t="str">
        <x:v>minor 选择后显示经过核对的实际和弦结果。</x:v>
      </x:c>
      <x:c r="H6" s="22" t="str">
        <x:v>checks/chords-completion/task-evidence.json</x:v>
      </x:c>
    </x:row>
    <x:row r="7" ht="44" customHeight="1">
      <x:c r="A7" s="22" t="str">
        <x:v>P158</x:v>
      </x:c>
      <x:c r="B7" s="22" t="str">
        <x:v>major chords piano</x:v>
      </x:c>
      <x:c r="C7" s="22" t="str">
        <x:v>/chords#major</x:v>
      </x:c>
      <x:c r="D7" s="22" t="str">
        <x:v>/chords/major</x:v>
      </x:c>
      <x:c r="E7" s="22" t="str">
        <x:v>split_with_reported_category</x:v>
      </x:c>
      <x:c r="F7" s="22" t="str">
        <x:v>preserve_major_anchor_and_category</x:v>
      </x:c>
      <x:c r="G7" s="22" t="str">
        <x:v>major 选择后显示经过核对的实际和弦结果。</x:v>
      </x:c>
      <x:c r="H7" s="22" t="str">
        <x:v>checks/chords-completion/task-evidence.json</x:v>
      </x:c>
    </x:row>
    <x:row r="8" ht="44" customHeight="1">
      <x:c r="A8" s="22" t="str">
        <x:v>P168</x:v>
      </x:c>
      <x:c r="B8" s="22" t="str">
        <x:v>power chords piano</x:v>
      </x:c>
      <x:c r="C8" s="22" t="str">
        <x:v>/chords#power</x:v>
      </x:c>
      <x:c r="D8" s="22" t="str">
        <x:v>/chords#power</x:v>
      </x:c>
      <x:c r="E8" s="22" t="str">
        <x:v>needs_completion</x:v>
      </x:c>
      <x:c r="F8" s="22" t="str">
        <x:v>power_result_and_explanation</x:v>
      </x:c>
      <x:c r="G8" s="22" t="str">
        <x:v>power chord 的实际结果与使用说明，不能只有标签。</x:v>
      </x:c>
      <x:c r="H8" s="22" t="str">
        <x:v>checks/chords-completion/task-evidence.json</x:v>
      </x:c>
    </x:row>
    <x:row r="9" ht="44" customHeight="1">
      <x:c r="A9" s="22" t="str">
        <x:v>P170</x:v>
      </x:c>
      <x:c r="B9" s="22" t="str">
        <x:v>piano chord chart 7th</x:v>
      </x:c>
      <x:c r="C9" s="22" t="str">
        <x:v>/chords#seventh</x:v>
      </x:c>
      <x:c r="D9" s="22" t="str">
        <x:v>/chords/seventh</x:v>
      </x:c>
      <x:c r="E9" s="22" t="str">
        <x:v>split_and_partial</x:v>
      </x:c>
      <x:c r="F9" s="22" t="str">
        <x:v>hub_seventh_examples_plus_category</x:v>
      </x:c>
      <x:c r="G9" s="22" t="str">
        <x:v>明确 7th 涉及的类别和输出；不把它无条件改成 major7。</x:v>
      </x:c>
      <x:c r="H9" s="22" t="str">
        <x:v>checks/chords-completion/task-evidence.json</x:v>
      </x:c>
    </x:row>
    <x:row r="10" ht="44" customHeight="1">
      <x:c r="A10" s="22" t="str">
        <x:v>P171</x:v>
      </x:c>
      <x:c r="B10" s="22" t="str">
        <x:v>piano chord chart jazz</x:v>
      </x:c>
      <x:c r="C10" s="22" t="str">
        <x:v>/chords#jazz</x:v>
      </x:c>
      <x:c r="D10" s="22" t="str">
        <x:v>/chords#jazz</x:v>
      </x:c>
      <x:c r="E10" s="22" t="str">
        <x:v>needs_completion</x:v>
      </x:c>
      <x:c r="F10" s="22" t="str">
        <x:v>jazz_examples_and_progression</x:v>
      </x:c>
      <x:c r="G10" s="22" t="str">
        <x:v>jazz 相关和弦的实际示例及说明，不只加一个风格按钮。</x:v>
      </x:c>
      <x:c r="H10" s="22" t="str">
        <x:v>checks/chords-completion/task-evidence.json</x:v>
      </x:c>
    </x:row>
    <x:row r="11" ht="44" customHeight="1">
      <x:c r="A11" s="22" t="str">
        <x:v>P238</x:v>
      </x:c>
      <x:c r="B11" s="22" t="str">
        <x:v>major and minor chords piano</x:v>
      </x:c>
      <x:c r="C11" s="22" t="str">
        <x:v>/chords#major-vs-minor</x:v>
      </x:c>
      <x:c r="D11" s="22" t="str">
        <x:v>/chords#major-vs-minor</x:v>
      </x:c>
      <x:c r="E11" s="22" t="str">
        <x:v>reported_implementation_exists_content_task_needs_evidence</x:v>
      </x:c>
      <x:c r="F11" s="22" t="str">
        <x:v>retain_and_verify_against_required_output</x:v>
      </x:c>
      <x:c r="G11" s="22" t="str">
        <x:v>大小和弦对比包含音图/示例和区别，不用类型筛选器代替解释。</x:v>
      </x:c>
      <x:c r="H11" s="22" t="str">
        <x:v>checks/chords-completion/task-evidence.json</x:v>
      </x:c>
    </x:row>
    <x:row r="12" ht="44" customHeight="1">
      <x:c r="A12" s="22" t="str">
        <x:v>P247</x:v>
      </x:c>
      <x:c r="B12" s="22" t="str">
        <x:v>how to read a piano chord chart?</x:v>
      </x:c>
      <x:c r="C12" s="22" t="str">
        <x:v>/chords#how-to-read</x:v>
      </x:c>
      <x:c r="D12" s="22" t="str">
        <x:v>/chords#how-to-read</x:v>
      </x:c>
      <x:c r="E12" s="22" t="str">
        <x:v>reported_implementation_exists_content_task_needs_evidence</x:v>
      </x:c>
      <x:c r="F12" s="22" t="str">
        <x:v>retain_and_verify_against_required_output</x:v>
      </x:c>
      <x:c r="G12" s="22" t="str">
        <x:v>如何读键盘图、组成音和标记；深入学习连接指南。</x:v>
      </x:c>
      <x:c r="H12" s="22" t="str">
        <x:v>checks/chords-completion/task-evidence.json</x:v>
      </x:c>
    </x:row>
    <x:row r="13" ht="44" customHeight="1">
      <x:c r="A13" s="22" t="str">
        <x:v>P149</x:v>
      </x:c>
      <x:c r="B13" s="22" t="str">
        <x:v>a chord piano</x:v>
      </x:c>
      <x:c r="C13" s="22" t="str">
        <x:v>/chords/a-major</x:v>
      </x:c>
      <x:c r="D13" s="22" t="str">
        <x:v>/chords/a-major</x:v>
      </x:c>
      <x:c r="E13" s="22" t="str">
        <x:v>reported_implementation_exists_content_task_needs_evidence</x:v>
      </x:c>
      <x:c r="F13" s="22" t="str">
        <x:v>retain_and_verify_against_required_output</x:v>
      </x:c>
      <x:c r="G13" s="22" t="str">
        <x:v>当前和弦的音名/键位/音程；原位和转位；可用时播放；清晰指法说明；相关查询链接</x:v>
      </x:c>
      <x:c r="H13" s="22" t="str">
        <x:v>checks/chords-completion/task-evidence.json</x:v>
      </x:c>
    </x:row>
    <x:row r="14" ht="44" customHeight="1">
      <x:c r="A14" s="22" t="str">
        <x:v>P151</x:v>
      </x:c>
      <x:c r="B14" s="22" t="str">
        <x:v>am piano chord</x:v>
      </x:c>
      <x:c r="C14" s="22" t="str">
        <x:v>/chords/a-minor</x:v>
      </x:c>
      <x:c r="D14" s="22" t="str">
        <x:v>/chords/a-minor</x:v>
      </x:c>
      <x:c r="E14" s="22" t="str">
        <x:v>reported_implementation_exists_content_task_needs_evidence</x:v>
      </x:c>
      <x:c r="F14" s="22" t="str">
        <x:v>retain_and_verify_against_required_output</x:v>
      </x:c>
      <x:c r="G14" s="22" t="str">
        <x:v>当前和弦的音名/键位/音程；原位和转位；可用时播放；清晰指法说明；相关查询链接</x:v>
      </x:c>
      <x:c r="H14" s="22" t="str">
        <x:v>checks/chords-completion/task-evidence.json</x:v>
      </x:c>
    </x:row>
    <x:row r="15" ht="44" customHeight="1">
      <x:c r="A15" s="22" t="str">
        <x:v>P163</x:v>
      </x:c>
      <x:c r="B15" s="22" t="str">
        <x:v>c chords piano</x:v>
      </x:c>
      <x:c r="C15" s="22" t="str">
        <x:v>/chords/c-major</x:v>
      </x:c>
      <x:c r="D15" s="22" t="str">
        <x:v>/chords/c-major</x:v>
      </x:c>
      <x:c r="E15" s="22" t="str">
        <x:v>reported_implementation_exists_content_task_needs_evidence</x:v>
      </x:c>
      <x:c r="F15" s="22" t="str">
        <x:v>retain_and_verify_against_required_output</x:v>
      </x:c>
      <x:c r="G15" s="22" t="str">
        <x:v>当前和弦的音名/键位/音程；原位和转位；可用时播放；清晰指法说明；相关查询链接</x:v>
      </x:c>
      <x:c r="H15" s="22" t="str">
        <x:v>checks/chords-completion/task-evidence.json</x:v>
      </x:c>
    </x:row>
    <x:row r="16" ht="44" customHeight="1">
      <x:c r="A16" s="22" t="str">
        <x:v>P126</x:v>
      </x:c>
      <x:c r="B16" s="22" t="str">
        <x:v>piano fingering chart</x:v>
      </x:c>
      <x:c r="C16" s="22" t="str">
        <x:v>/keyboard-notes/finger-numbers</x:v>
      </x:c>
      <x:c r="D16" s="22" t="str">
        <x:v>/keyboard-notes/finger-numbers</x:v>
      </x:c>
      <x:c r="E16" s="22" t="str">
        <x:v>reported_delivered_limited</x:v>
      </x:c>
      <x:c r="F16" s="22" t="str">
        <x:v>preserve_hand_numbers_not_universal_fingering</x:v>
      </x:c>
      <x:c r="G16" s="22" t="str">
        <x:v>左右手编号图；基础使用说明；链接到具体和弦/音阶指法</x:v>
      </x:c>
      <x:c r="H16" s="22" t="str">
        <x:v>checks/chords-completion/task-evidence.json</x:v>
      </x:c>
    </x:row>
    <x:row r="17" ht="44" customHeight="1">
      <x:c r="A17" s="22" t="str">
        <x:v>P150</x:v>
      </x:c>
      <x:c r="B17" s="22" t="str">
        <x:v>b chord piano</x:v>
      </x:c>
      <x:c r="C17" s="22" t="str">
        <x:v>/chords/b-major</x:v>
      </x:c>
      <x:c r="D17" s="22" t="str">
        <x:v>/chords/b-major</x:v>
      </x:c>
      <x:c r="E17" s="22" t="str">
        <x:v>reported_implementation_exists_content_task_needs_evidence</x:v>
      </x:c>
      <x:c r="F17" s="22" t="str">
        <x:v>retain_and_verify_against_required_output</x:v>
      </x:c>
      <x:c r="G17" s="22" t="str">
        <x:v>当前和弦的音名/键位/音程；原位和转位；可用时播放；清晰指法说明；相关查询链接</x:v>
      </x:c>
      <x:c r="H17" s="22" t="str">
        <x:v>checks/chords-completion/task-evidence.json</x:v>
      </x:c>
    </x:row>
    <x:row r="18" ht="44" customHeight="1">
      <x:c r="A18" s="22" t="str">
        <x:v>P155</x:v>
      </x:c>
      <x:c r="B18" s="22" t="str">
        <x:v>a flat chord piano</x:v>
      </x:c>
      <x:c r="C18" s="22" t="str">
        <x:v>/chords/a-flat-major</x:v>
      </x:c>
      <x:c r="D18" s="22" t="str">
        <x:v>/chords/a-flat-major</x:v>
      </x:c>
      <x:c r="E18" s="22" t="str">
        <x:v>reported_implementation_exists_content_task_needs_evidence</x:v>
      </x:c>
      <x:c r="F18" s="22" t="str">
        <x:v>retain_and_verify_against_required_output</x:v>
      </x:c>
      <x:c r="G18" s="22" t="str">
        <x:v>当前和弦的音名/键位/音程；原位和转位；可用时播放；清晰指法说明；相关查询链接</x:v>
      </x:c>
      <x:c r="H18" s="22" t="str">
        <x:v>checks/chords-completion/task-evidence.json</x:v>
      </x:c>
    </x:row>
    <x:row r="19" ht="44" customHeight="1">
      <x:c r="A19" s="22" t="str">
        <x:v>P162</x:v>
      </x:c>
      <x:c r="B19" s="22" t="str">
        <x:v>piano e chord</x:v>
      </x:c>
      <x:c r="C19" s="22" t="str">
        <x:v>/chords/e-major</x:v>
      </x:c>
      <x:c r="D19" s="22" t="str">
        <x:v>/chords/e-major</x:v>
      </x:c>
      <x:c r="E19" s="22" t="str">
        <x:v>reported_implementation_exists_content_task_needs_evidence</x:v>
      </x:c>
      <x:c r="F19" s="22" t="str">
        <x:v>retain_and_verify_against_required_output</x:v>
      </x:c>
      <x:c r="G19" s="22" t="str">
        <x:v>当前和弦的音名/键位/音程；原位和转位；可用时播放；清晰指法说明；相关查询链接</x:v>
      </x:c>
      <x:c r="H19" s="22" t="str">
        <x:v>checks/chords-completion/task-evidence.json</x:v>
      </x:c>
    </x:row>
    <x:row r="20" ht="44" customHeight="1">
      <x:c r="A20" s="22" t="str">
        <x:v>P166</x:v>
      </x:c>
      <x:c r="B20" s="22" t="str">
        <x:v>c minor in piano</x:v>
      </x:c>
      <x:c r="C20" s="22" t="str">
        <x:v>/chords/c-minor</x:v>
      </x:c>
      <x:c r="D20" s="22" t="str">
        <x:v>/chords/c-minor</x:v>
      </x:c>
      <x:c r="E20" s="22" t="str">
        <x:v>reported_implementation_exists_content_task_needs_evidence</x:v>
      </x:c>
      <x:c r="F20" s="22" t="str">
        <x:v>retain_and_verify_against_required_output</x:v>
      </x:c>
      <x:c r="G20" s="22" t="str">
        <x:v>当前和弦的音名/键位/音程；原位和转位；可用时播放；清晰指法说明；相关查询链接</x:v>
      </x:c>
      <x:c r="H20" s="22" t="str">
        <x:v>checks/chords-completion/task-evidence.json</x:v>
      </x:c>
    </x:row>
    <x:row r="21" ht="44" customHeight="1">
      <x:c r="A21" s="22" t="str">
        <x:v>P167</x:v>
      </x:c>
      <x:c r="B21" s="22" t="str">
        <x:v>cb piano chord</x:v>
      </x:c>
      <x:c r="C21" s="22" t="str">
        <x:v>/chords/c-flat-major</x:v>
      </x:c>
      <x:c r="D21" s="22" t="str">
        <x:v>/chords/c-flat-major</x:v>
      </x:c>
      <x:c r="E21" s="22" t="str">
        <x:v>reported_implementation_exists_content_task_needs_evidence</x:v>
      </x:c>
      <x:c r="F21" s="22" t="str">
        <x:v>retain_and_verify_against_required_output</x:v>
      </x:c>
      <x:c r="G21" s="22" t="str">
        <x:v>当前和弦的音名/键位/音程；原位和转位；可用时播放；清晰指法说明；相关查询链接</x:v>
      </x:c>
      <x:c r="H21" s="22" t="str">
        <x:v>checks/chords-completion/task-evidence.json</x:v>
      </x:c>
    </x:row>
    <x:row r="22" ht="44" customHeight="1">
      <x:c r="A22" s="22" t="str">
        <x:v>P169</x:v>
      </x:c>
      <x:c r="B22" s="22" t="str">
        <x:v>g chord piano</x:v>
      </x:c>
      <x:c r="C22" s="22" t="str">
        <x:v>/chords/g-major</x:v>
      </x:c>
      <x:c r="D22" s="22" t="str">
        <x:v>/chords/g-major</x:v>
      </x:c>
      <x:c r="E22" s="22" t="str">
        <x:v>reported_implementation_exists_content_task_needs_evidence</x:v>
      </x:c>
      <x:c r="F22" s="22" t="str">
        <x:v>retain_and_verify_against_required_output</x:v>
      </x:c>
      <x:c r="G22" s="22" t="str">
        <x:v>当前和弦的音名/键位/音程；原位和转位；可用时播放；清晰指法说明；相关查询链接</x:v>
      </x:c>
      <x:c r="H22" s="22" t="str">
        <x:v>checks/chords-completion/task-evidence.json</x:v>
      </x:c>
    </x:row>
    <x:row r="23" ht="44" customHeight="1">
      <x:c r="A23" s="22" t="str">
        <x:v>P152</x:v>
      </x:c>
      <x:c r="B23" s="22" t="str">
        <x:v>chords of key</x:v>
      </x:c>
      <x:c r="C23" s="22" t="str">
        <x:v>/chords/by-key</x:v>
      </x:c>
      <x:c r="D23" s="22" t="str">
        <x:v>/chords/by-key</x:v>
      </x:c>
      <x:c r="E23" s="22" t="str">
        <x:v>reported_implementation_exists_content_task_needs_evidence</x:v>
      </x:c>
      <x:c r="F23" s="22" t="str">
        <x:v>retain_and_verify_against_required_output</x:v>
      </x:c>
      <x:c r="G23" s="22" t="str">
        <x:v>有内容的调性选择器与各级和弦表；支持已有G/D/C/E/A/F及D minor任务</x:v>
      </x:c>
      <x:c r="H23" s="22" t="str">
        <x:v>checks/chords-completion/task-evidence.json</x:v>
      </x:c>
    </x:row>
    <x:row r="24" ht="44" customHeight="1">
      <x:c r="A24" s="22" t="str">
        <x:v>P156</x:v>
      </x:c>
      <x:c r="B24" s="22" t="str">
        <x:v>chords in g major scale piano</x:v>
      </x:c>
      <x:c r="C24" s="22" t="str">
        <x:v>/chords/by-key#g-major</x:v>
      </x:c>
      <x:c r="D24" s="22" t="str">
        <x:v>/chords/by-key#g-major</x:v>
      </x:c>
      <x:c r="E24" s="22" t="str">
        <x:v>reported_implementation_exists_content_task_needs_evidence</x:v>
      </x:c>
      <x:c r="F24" s="22" t="str">
        <x:v>retain_and_verify_against_required_output</x:v>
      </x:c>
      <x:c r="G24" s="22" t="str">
        <x:v>查G大调各级和弦；必须在该页提供实际结果，不只增加一个关键词。</x:v>
      </x:c>
      <x:c r="H24" s="22" t="str">
        <x:v>checks/chords-completion/task-evidence.json</x:v>
      </x:c>
    </x:row>
    <x:row r="25" ht="44" customHeight="1">
      <x:c r="A25" s="22" t="str">
        <x:v>P157</x:v>
      </x:c>
      <x:c r="B25" s="22" t="str">
        <x:v>d major scale piano chords</x:v>
      </x:c>
      <x:c r="C25" s="22" t="str">
        <x:v>/chords/by-key#d-major</x:v>
      </x:c>
      <x:c r="D25" s="22" t="str">
        <x:v>/chords/by-key#d-major</x:v>
      </x:c>
      <x:c r="E25" s="22" t="str">
        <x:v>reported_implementation_exists_content_task_needs_evidence</x:v>
      </x:c>
      <x:c r="F25" s="22" t="str">
        <x:v>retain_and_verify_against_required_output</x:v>
      </x:c>
      <x:c r="G25" s="22" t="str">
        <x:v>查D大调各级和弦；必须在该页提供实际结果，不只增加一个关键词。</x:v>
      </x:c>
      <x:c r="H25" s="22" t="str">
        <x:v>checks/chords-completion/task-evidence.json</x:v>
      </x:c>
    </x:row>
    <x:row r="26" ht="44" customHeight="1">
      <x:c r="A26" s="22" t="str">
        <x:v>P159</x:v>
      </x:c>
      <x:c r="B26" s="22" t="str">
        <x:v>c major scale chords piano</x:v>
      </x:c>
      <x:c r="C26" s="22" t="str">
        <x:v>/chords/by-key#c-major</x:v>
      </x:c>
      <x:c r="D26" s="22" t="str">
        <x:v>/chords/by-key#c-major</x:v>
      </x:c>
      <x:c r="E26" s="22" t="str">
        <x:v>reported_implementation_exists_content_task_needs_evidence</x:v>
      </x:c>
      <x:c r="F26" s="22" t="str">
        <x:v>retain_and_verify_against_required_output</x:v>
      </x:c>
      <x:c r="G26" s="22" t="str">
        <x:v>查C大调各级和弦；必须在该页提供实际结果，不只增加一个关键词。</x:v>
      </x:c>
      <x:c r="H26" s="22" t="str">
        <x:v>checks/chords-completion/task-evidence.json</x:v>
      </x:c>
    </x:row>
    <x:row r="27" ht="44" customHeight="1">
      <x:c r="A27" s="22" t="str">
        <x:v>P160</x:v>
      </x:c>
      <x:c r="B27" s="22" t="str">
        <x:v>piano chords in e</x:v>
      </x:c>
      <x:c r="C27" s="22" t="str">
        <x:v>/chords/by-key#e-major</x:v>
      </x:c>
      <x:c r="D27" s="22" t="str">
        <x:v>/chords/by-key#e-major</x:v>
      </x:c>
      <x:c r="E27" s="22" t="str">
        <x:v>reported_implementation_exists_content_task_needs_evidence</x:v>
      </x:c>
      <x:c r="F27" s="22" t="str">
        <x:v>retain_and_verify_against_required_output</x:v>
      </x:c>
      <x:c r="G27" s="22" t="str">
        <x:v>查E大调各级和弦；必须在该页提供实际结果，不只增加一个关键词。</x:v>
      </x:c>
      <x:c r="H27" s="22" t="str">
        <x:v>checks/chords-completion/task-evidence.json</x:v>
      </x:c>
    </x:row>
    <x:row r="28" ht="44" customHeight="1">
      <x:c r="A28" s="22" t="str">
        <x:v>P161</x:v>
      </x:c>
      <x:c r="B28" s="22" t="str">
        <x:v>piano chords in a</x:v>
      </x:c>
      <x:c r="C28" s="22" t="str">
        <x:v>/chords/by-key#a-major</x:v>
      </x:c>
      <x:c r="D28" s="22" t="str">
        <x:v>/chords/by-key#a-major</x:v>
      </x:c>
      <x:c r="E28" s="22" t="str">
        <x:v>reported_implementation_exists_content_task_needs_evidence</x:v>
      </x:c>
      <x:c r="F28" s="22" t="str">
        <x:v>retain_and_verify_against_required_output</x:v>
      </x:c>
      <x:c r="G28" s="22" t="str">
        <x:v>查询A大调和弦集合；必须在该页提供实际结果，不只增加一个关键词。</x:v>
      </x:c>
      <x:c r="H28" s="22" t="str">
        <x:v>checks/chords-completion/task-evidence.json</x:v>
      </x:c>
    </x:row>
    <x:row r="29" ht="44" customHeight="1">
      <x:c r="A29" s="22" t="str">
        <x:v>P164</x:v>
      </x:c>
      <x:c r="B29" s="22" t="str">
        <x:v>key of f chords piano</x:v>
      </x:c>
      <x:c r="C29" s="22" t="str">
        <x:v>/chords/by-key#f-major</x:v>
      </x:c>
      <x:c r="D29" s="22" t="str">
        <x:v>/chords/by-key#f-major</x:v>
      </x:c>
      <x:c r="E29" s="22" t="str">
        <x:v>reported_implementation_exists_content_task_needs_evidence</x:v>
      </x:c>
      <x:c r="F29" s="22" t="str">
        <x:v>retain_and_verify_against_required_output</x:v>
      </x:c>
      <x:c r="G29" s="22" t="str">
        <x:v>查F大调各级和弦；必须在该页提供实际结果，不只增加一个关键词。</x:v>
      </x:c>
      <x:c r="H29" s="22" t="str">
        <x:v>checks/chords-completion/task-evidence.json</x:v>
      </x:c>
    </x:row>
    <x:row r="30" ht="44" customHeight="1">
      <x:c r="A30" s="22" t="str">
        <x:v>P165</x:v>
      </x:c>
      <x:c r="B30" s="22" t="str">
        <x:v>d minor scale piano chords</x:v>
      </x:c>
      <x:c r="C30" s="22" t="str">
        <x:v>/chords/by-key#d-minor</x:v>
      </x:c>
      <x:c r="D30" s="22" t="str">
        <x:v>/chords/by-key#d-minor</x:v>
      </x:c>
      <x:c r="E30" s="22" t="str">
        <x:v>reported_implementation_exists_content_task_needs_evidence</x:v>
      </x:c>
      <x:c r="F30" s="22" t="str">
        <x:v>retain_and_verify_against_required_output</x:v>
      </x:c>
      <x:c r="G30" s="22" t="str">
        <x:v>查D小调各级和弦；必须在该页提供实际结果，不只增加一个关键词。</x:v>
      </x:c>
      <x:c r="H30" s="22" t="str">
        <x:v>checks/chords-completion/task-evidence.json</x:v>
      </x:c>
    </x:row>
    <x:row r="31" ht="44" customHeight="1">
      <x:c r="A31" s="22" t="str">
        <x:v>P153</x:v>
      </x:c>
      <x:c r="B31" s="22" t="str">
        <x:v>chord finder piano</x:v>
      </x:c>
      <x:c r="C31" s="22" t="str">
        <x:v>/chords/finder</x:v>
      </x:c>
      <x:c r="D31" s="22" t="str">
        <x:v>/chords/finder</x:v>
      </x:c>
      <x:c r="E31" s="22" t="str">
        <x:v>reported_limited</x:v>
      </x:c>
      <x:c r="F31" s="22" t="str">
        <x:v>cross_family_finder</x:v>
      </x:c>
      <x:c r="G31" s="22" t="str">
        <x:v>选择音符；列出可能命名、低音与拼写说明</x:v>
      </x:c>
      <x:c r="H31" s="22" t="str">
        <x:v>checks/chords-completion/task-evidence.json</x:v>
      </x:c>
    </x:row>
    <x:row r="32" ht="44" customHeight="1">
      <x:c r="A32" s="22" t="str">
        <x:v>P172</x:v>
      </x:c>
      <x:c r="B32" s="22" t="str">
        <x:v>common chord progressions</x:v>
      </x:c>
      <x:c r="C32" s="22" t="str">
        <x:v>/chord-progressions#common</x:v>
      </x:c>
      <x:c r="D32" s="22" t="str">
        <x:v>/chord-progressions#common</x:v>
      </x:c>
      <x:c r="E32" s="22" t="str">
        <x:v>reported_implementation_exists_content_task_needs_evidence</x:v>
      </x:c>
      <x:c r="F32" s="22" t="str">
        <x:v>retain_and_verify_against_required_output</x:v>
      </x:c>
      <x:c r="G32" s="22" t="str">
        <x:v>常见和弦走向集合；必须在该页提供实际结果，不只增加一个关键词。</x:v>
      </x:c>
      <x:c r="H32" s="22" t="str">
        <x:v>checks/chords-completion/task-evidence.json</x:v>
      </x:c>
    </x:row>
    <x:row r="33" ht="44" customHeight="1">
      <x:c r="A33" s="22" t="str">
        <x:v>P173</x:v>
      </x:c>
      <x:c r="B33" s="22" t="str">
        <x:v>piano chord progressions</x:v>
      </x:c>
      <x:c r="C33" s="22" t="str">
        <x:v>/chord-progressions</x:v>
      </x:c>
      <x:c r="D33" s="22" t="str">
        <x:v>/chord-progressions</x:v>
      </x:c>
      <x:c r="E33" s="22" t="str">
        <x:v>reported_implementation_exists_content_task_needs_evidence</x:v>
      </x:c>
      <x:c r="F33" s="22" t="str">
        <x:v>retain_and_verify_against_required_output</x:v>
      </x:c>
      <x:c r="G33" s="22" t="str">
        <x:v>常见走向列表；C/E/A调转写选择；优美/愉快效果标签；含义与使用说明；打印</x:v>
      </x:c>
      <x:c r="H33" s="22" t="str">
        <x:v>checks/chords-completion/task-evidence.json</x:v>
      </x:c>
    </x:row>
    <x:row r="34" ht="44" customHeight="1">
      <x:c r="A34" s="22" t="str">
        <x:v>P174</x:v>
      </x:c>
      <x:c r="B34" s="22" t="str">
        <x:v>c major chord progressions</x:v>
      </x:c>
      <x:c r="C34" s="22" t="str">
        <x:v>/chord-progressions#c-major</x:v>
      </x:c>
      <x:c r="D34" s="22" t="str">
        <x:v>/chord-progressions#c-major</x:v>
      </x:c>
      <x:c r="E34" s="22" t="str">
        <x:v>reported_implementation_exists_content_task_needs_evidence</x:v>
      </x:c>
      <x:c r="F34" s="22" t="str">
        <x:v>retain_and_verify_against_required_output</x:v>
      </x:c>
      <x:c r="G34" s="22" t="str">
        <x:v>C大调和弦走向；必须在该页提供实际结果，不只增加一个关键词。</x:v>
      </x:c>
      <x:c r="H34" s="22" t="str">
        <x:v>checks/chords-completion/task-evidence.json</x:v>
      </x:c>
    </x:row>
    <x:row r="35" ht="44" customHeight="1">
      <x:c r="A35" s="22" t="str">
        <x:v>P175</x:v>
      </x:c>
      <x:c r="B35" s="22" t="str">
        <x:v>common chord progressions key of e</x:v>
      </x:c>
      <x:c r="C35" s="22" t="str">
        <x:v>/chord-progressions#e-major</x:v>
      </x:c>
      <x:c r="D35" s="22" t="str">
        <x:v>/chord-progressions#e-major</x:v>
      </x:c>
      <x:c r="E35" s="22" t="str">
        <x:v>reported_implementation_exists_content_task_needs_evidence</x:v>
      </x:c>
      <x:c r="F35" s="22" t="str">
        <x:v>retain_and_verify_against_required_output</x:v>
      </x:c>
      <x:c r="G35" s="22" t="str">
        <x:v>E调常用和弦走向；必须在该页提供实际结果，不只增加一个关键词。</x:v>
      </x:c>
      <x:c r="H35" s="22" t="str">
        <x:v>checks/chords-completion/task-evidence.json</x:v>
      </x:c>
    </x:row>
    <x:row r="36" ht="44" customHeight="1">
      <x:c r="A36" s="22" t="str">
        <x:v>P176</x:v>
      </x:c>
      <x:c r="B36" s="22" t="str">
        <x:v>a major chord progression</x:v>
      </x:c>
      <x:c r="C36" s="22" t="str">
        <x:v>/chord-progressions#a-major</x:v>
      </x:c>
      <x:c r="D36" s="22" t="str">
        <x:v>/chord-progressions#a-major</x:v>
      </x:c>
      <x:c r="E36" s="22" t="str">
        <x:v>reported_implementation_exists_content_task_needs_evidence</x:v>
      </x:c>
      <x:c r="F36" s="22" t="str">
        <x:v>retain_and_verify_against_required_output</x:v>
      </x:c>
      <x:c r="G36" s="22" t="str">
        <x:v>A大调和弦走向；必须在该页提供实际结果，不只增加一个关键词。</x:v>
      </x:c>
      <x:c r="H36" s="22" t="str">
        <x:v>checks/chords-completion/task-evidence.json</x:v>
      </x:c>
    </x:row>
    <x:row r="37" ht="44" customHeight="1">
      <x:c r="A37" s="22" t="str">
        <x:v>P177</x:v>
      </x:c>
      <x:c r="B37" s="22" t="str">
        <x:v>beautiful chord progressions piano</x:v>
      </x:c>
      <x:c r="C37" s="22" t="str">
        <x:v>/chord-progressions#beautiful</x:v>
      </x:c>
      <x:c r="D37" s="22" t="str">
        <x:v>/chord-progressions#beautiful</x:v>
      </x:c>
      <x:c r="E37" s="22" t="str">
        <x:v>not_proven_by_page_tests</x:v>
      </x:c>
      <x:c r="F37" s="22" t="str">
        <x:v>subjective_example_with_controls</x:v>
      </x:c>
      <x:c r="G37" s="22" t="str">
        <x:v>查询优美钢琴和弦走向；必须在该页提供实际结果，不只增加一个关键词。</x:v>
      </x:c>
      <x:c r="H37" s="22" t="str">
        <x:v>checks/chords-completion/task-evidence.json</x:v>
      </x:c>
    </x:row>
    <x:row r="38" ht="44" customHeight="1">
      <x:c r="A38" s="22" t="str">
        <x:v>P178</x:v>
      </x:c>
      <x:c r="B38" s="22" t="str">
        <x:v>happy chord progressions</x:v>
      </x:c>
      <x:c r="C38" s="22" t="str">
        <x:v>/chord-progressions#happy</x:v>
      </x:c>
      <x:c r="D38" s="22" t="str">
        <x:v>/chord-progressions#happy</x:v>
      </x:c>
      <x:c r="E38" s="22" t="str">
        <x:v>not_proven_by_page_tests</x:v>
      </x:c>
      <x:c r="F38" s="22" t="str">
        <x:v>subjective_example_with_controls</x:v>
      </x:c>
      <x:c r="G38" s="22" t="str">
        <x:v>愉快情绪和弦走向；必须在该页提供实际结果，不只增加一个关键词。</x:v>
      </x:c>
      <x:c r="H38" s="22" t="str">
        <x:v>checks/chords-completion/task-evidence.json</x:v>
      </x:c>
    </x:row>
    <x:row r="39" ht="44" customHeight="1">
      <x:c r="A39" s="22" t="str">
        <x:v>P237</x:v>
      </x:c>
      <x:c r="B39" s="22" t="str">
        <x:v>what are chord progressions</x:v>
      </x:c>
      <x:c r="C39" s="22" t="str">
        <x:v>/chord-progressions#how-it-works</x:v>
      </x:c>
      <x:c r="D39" s="22" t="str">
        <x:v>/chord-progressions#how-it-works</x:v>
      </x:c>
      <x:c r="E39" s="22" t="str">
        <x:v>reported_implementation_exists_content_task_needs_evidence</x:v>
      </x:c>
      <x:c r="F39" s="22" t="str">
        <x:v>retain_and_verify_against_required_output</x:v>
      </x:c>
      <x:c r="G39" s="22" t="str">
        <x:v>说明走向是什么，附可试弹例子。</x:v>
      </x:c>
      <x:c r="H39" s="22" t="str">
        <x:v>checks/chords-completion/task-evidence.json</x:v>
      </x:c>
    </x:row>
    <x:row r="40" ht="44" customHeight="1">
      <x:c r="A40" s="22" t="str">
        <x:v>P220</x:v>
      </x:c>
      <x:c r="B40" s="22" t="str">
        <x:v>how to play chords on piano</x:v>
      </x:c>
      <x:c r="C40" s="22" t="str">
        <x:v>/guide/piano-chords</x:v>
      </x:c>
      <x:c r="D40" s="22" t="str">
        <x:v>/guide/piano-chords</x:v>
      </x:c>
      <x:c r="E40" s="22" t="str">
        <x:v>reported_implementation_exists_content_task_needs_evidence</x:v>
      </x:c>
      <x:c r="F40" s="22" t="str">
        <x:v>retain_and_verify_against_required_output</x:v>
      </x:c>
      <x:c r="G40" s="22" t="str">
        <x:v>步骤、构成、指法示意及连接练习；链接查图工具</x:v>
      </x:c>
      <x:c r="H40" s="22" t="str">
        <x:v>checks/chords-completion/task-evidence.json</x:v>
      </x:c>
    </x:row>
    <x:row r="41" ht="44" customHeight="1">
      <x:c r="A41" s="22" t="str">
        <x:v>P225</x:v>
      </x:c>
      <x:c r="B41" s="22" t="str">
        <x:v>basic piano chords</x:v>
      </x:c>
      <x:c r="C41" s="22" t="str">
        <x:v>/guide/piano-chords#beginner</x:v>
      </x:c>
      <x:c r="D41" s="22" t="str">
        <x:v>/guide/piano-chords#beginner</x:v>
      </x:c>
      <x:c r="E41" s="22" t="str">
        <x:v>reported_implementation_exists_content_task_needs_evidence</x:v>
      </x:c>
      <x:c r="F41" s="22" t="str">
        <x:v>retain_and_verify_against_required_output</x:v>
      </x:c>
      <x:c r="G41" s="22" t="str">
        <x:v>初学钢琴基础和弦选择与弹法；必须在该页提供实际结果，不只增加一个关键词。</x:v>
      </x:c>
      <x:c r="H41" s="22" t="str">
        <x:v>checks/chords-completion/task-evidence.json</x:v>
      </x:c>
    </x:row>
    <x:row r="42" ht="44" customHeight="1">
      <x:c r="A42" s="22" t="str">
        <x:v>P242</x:v>
      </x:c>
      <x:c r="B42" s="22" t="str">
        <x:v>piano chord transitions</x:v>
      </x:c>
      <x:c r="C42" s="22" t="str">
        <x:v>/guide/piano-chords#transitions</x:v>
      </x:c>
      <x:c r="D42" s="22" t="str">
        <x:v>/guide/piano-chords#transitions</x:v>
      </x:c>
      <x:c r="E42" s="22" t="str">
        <x:v>not_proven_by_page_tests</x:v>
      </x:c>
      <x:c r="F42" s="22" t="str">
        <x:v>guided_transitions</x:v>
      </x:c>
      <x:c r="G42" s="22" t="str">
        <x:v>练习钢琴和弦连接/换和弦动作；必须在该页提供实际结果，不只增加一个关键词。</x:v>
      </x:c>
      <x:c r="H42" s="22" t="str">
        <x:v>checks/chords-completion/task-evidence.json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0d87438f92e429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18" hidden="0" customWidth="1"/>
    <x:col min="4" max="4" width="22" hidden="0" customWidth="1"/>
    <x:col min="5" max="5" width="34" hidden="0" customWidth="1"/>
    <x:col min="6" max="6" width="13" hidden="0" customWidth="1"/>
    <x:col min="7" max="7" width="13" hidden="0" customWidth="1"/>
    <x:col min="8" max="8" width="37" hidden="0" customWidth="1"/>
    <x:col min="9" max="9" width="38" hidden="0" customWidth="1"/>
  </x:cols>
  <x:sheetData>
    <x:row r="1" ht="32" customHeight="1">
      <x:c r="A1" s="3" t="str">
        <x:v>原127范围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证据口径：原规划来自附件；实现来自用户报告，待Codex以同一版本核对；预测数量不作强制指标。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14" t="str">
        <x:v>原ID</x:v>
      </x:c>
      <x:c r="B4" s="14" t="str">
        <x:v>URL</x:v>
      </x:c>
      <x:c r="C4" s="14" t="str">
        <x:v>原分类</x:v>
      </x:c>
      <x:c r="D4" s="14" t="str">
        <x:v>模块归属</x:v>
      </x:c>
      <x:c r="E4" s="14" t="str">
        <x:v>原代表词</x:v>
      </x:c>
      <x:c r="F4" s="14" t="str">
        <x:v>原US量</x:v>
      </x:c>
      <x:c r="G4" s="14" t="str">
        <x:v>原优先级</x:v>
      </x:c>
      <x:c r="H4" s="14" t="str">
        <x:v>实现证据</x:v>
      </x:c>
      <x:c r="I4" s="14" t="str">
        <x:v>本轮动作</x:v>
      </x:c>
    </x:row>
    <x:row r="5" ht="44" customHeight="1">
      <x:c r="A5" s="22" t="str">
        <x:v>U001</x:v>
      </x:c>
      <x:c r="B5" s="22" t="str">
        <x:v>/</x:v>
      </x:c>
      <x:c r="C5" s="22" t="str">
        <x:v>site</x:v>
      </x:c>
      <x:c r="D5" s="22" t="str">
        <x:v>other_module</x:v>
      </x:c>
      <x:c r="E5" s="22"/>
      <x:c r="F5" s="22"/>
      <x:c r="G5" s="22" t="str">
        <x:v>先做</x:v>
      </x:c>
      <x:c r="H5" s="22" t="str">
        <x:v>not_established_by_this_chords_audit</x:v>
      </x:c>
      <x:c r="I5" s="22" t="str">
        <x:v>preserve_original_plan_no_auto_release</x:v>
      </x:c>
    </x:row>
    <x:row r="6" ht="44" customHeight="1">
      <x:c r="A6" s="22" t="str">
        <x:v>U002</x:v>
      </x:c>
      <x:c r="B6" s="22" t="str">
        <x:v>/tools</x:v>
      </x:c>
      <x:c r="C6" s="22" t="str">
        <x:v>site</x:v>
      </x:c>
      <x:c r="D6" s="22" t="str">
        <x:v>other_module</x:v>
      </x:c>
      <x:c r="E6" s="22"/>
      <x:c r="F6" s="22"/>
      <x:c r="G6" s="22" t="str">
        <x:v>先做</x:v>
      </x:c>
      <x:c r="H6" s="22" t="str">
        <x:v>not_established_by_this_chords_audit</x:v>
      </x:c>
      <x:c r="I6" s="22" t="str">
        <x:v>preserve_original_plan_no_auto_release</x:v>
      </x:c>
    </x:row>
    <x:row r="7" ht="44" customHeight="1">
      <x:c r="A7" s="22" t="str">
        <x:v>U003</x:v>
      </x:c>
      <x:c r="B7" s="22" t="str">
        <x:v>/songs</x:v>
      </x:c>
      <x:c r="C7" s="22" t="str">
        <x:v>songs</x:v>
      </x:c>
      <x:c r="D7" s="22" t="str">
        <x:v>other_module</x:v>
      </x:c>
      <x:c r="E7" s="22" t="str">
        <x:v>piano songs</x:v>
      </x:c>
      <x:c r="F7" s="22" t="n">
        <x:v>14800</x:v>
      </x:c>
      <x:c r="G7" s="22" t="str">
        <x:v>先做</x:v>
      </x:c>
      <x:c r="H7" s="22" t="str">
        <x:v>not_established_by_this_chords_audit</x:v>
      </x:c>
      <x:c r="I7" s="22" t="str">
        <x:v>preserve_original_plan_no_auto_release</x:v>
      </x:c>
    </x:row>
    <x:row r="8" ht="44" customHeight="1">
      <x:c r="A8" s="22" t="str">
        <x:v>U004</x:v>
      </x:c>
      <x:c r="B8" s="22" t="str">
        <x:v>/songs/easy</x:v>
      </x:c>
      <x:c r="C8" s="22" t="str">
        <x:v>songs</x:v>
      </x:c>
      <x:c r="D8" s="22" t="str">
        <x:v>other_module</x:v>
      </x:c>
      <x:c r="E8" s="22" t="str">
        <x:v>easy piano songs</x:v>
      </x:c>
      <x:c r="F8" s="22" t="n">
        <x:v>18100</x:v>
      </x:c>
      <x:c r="G8" s="22" t="str">
        <x:v>先做</x:v>
      </x:c>
      <x:c r="H8" s="22" t="str">
        <x:v>not_established_by_this_chords_audit</x:v>
      </x:c>
      <x:c r="I8" s="22" t="str">
        <x:v>preserve_original_plan_no_auto_release</x:v>
      </x:c>
    </x:row>
    <x:row r="9" ht="44" customHeight="1">
      <x:c r="A9" s="22" t="str">
        <x:v>U036</x:v>
      </x:c>
      <x:c r="B9" s="22" t="str">
        <x:v>/tools/blank-sheet-music</x:v>
      </x:c>
      <x:c r="C9" s="22" t="str">
        <x:v>sheet_music</x:v>
      </x:c>
      <x:c r="D9" s="22" t="str">
        <x:v>other_module</x:v>
      </x:c>
      <x:c r="E9" s="22" t="str">
        <x:v>empty piano sheet music</x:v>
      </x:c>
      <x:c r="F9" s="22" t="n">
        <x:v>390</x:v>
      </x:c>
      <x:c r="G9" s="22" t="str">
        <x:v>先做</x:v>
      </x:c>
      <x:c r="H9" s="22" t="str">
        <x:v>not_established_by_this_chords_audit</x:v>
      </x:c>
      <x:c r="I9" s="22" t="str">
        <x:v>preserve_original_plan_no_auto_release</x:v>
      </x:c>
    </x:row>
    <x:row r="10" ht="44" customHeight="1">
      <x:c r="A10" s="22" t="str">
        <x:v>U067</x:v>
      </x:c>
      <x:c r="B10" s="22" t="str">
        <x:v>/keyboard-notes</x:v>
      </x:c>
      <x:c r="C10" s="22" t="str">
        <x:v>keyboard_notes</x:v>
      </x:c>
      <x:c r="D10" s="22" t="str">
        <x:v>other_module</x:v>
      </x:c>
      <x:c r="E10" s="22" t="str">
        <x:v>piano keys</x:v>
      </x:c>
      <x:c r="F10" s="22" t="n">
        <x:v>33100</x:v>
      </x:c>
      <x:c r="G10" s="22" t="str">
        <x:v>先做</x:v>
      </x:c>
      <x:c r="H10" s="22" t="str">
        <x:v>not_established_by_this_chords_audit</x:v>
      </x:c>
      <x:c r="I10" s="22" t="str">
        <x:v>preserve_original_plan_no_auto_release</x:v>
      </x:c>
    </x:row>
    <x:row r="11" ht="44" customHeight="1">
      <x:c r="A11" s="22" t="str">
        <x:v>U068</x:v>
      </x:c>
      <x:c r="B11" s="22" t="str">
        <x:v>/keyboard-notes/labeled</x:v>
      </x:c>
      <x:c r="C11" s="22" t="str">
        <x:v>keyboard_notes</x:v>
      </x:c>
      <x:c r="D11" s="22" t="str">
        <x:v>other_module</x:v>
      </x:c>
      <x:c r="E11" s="22" t="str">
        <x:v>keys on a piano keyboard labeled</x:v>
      </x:c>
      <x:c r="F11" s="22" t="n">
        <x:v>12100</x:v>
      </x:c>
      <x:c r="G11" s="22" t="str">
        <x:v>先做</x:v>
      </x:c>
      <x:c r="H11" s="22" t="str">
        <x:v>not_established_by_this_chords_audit</x:v>
      </x:c>
      <x:c r="I11" s="22" t="str">
        <x:v>preserve_original_plan_no_auto_release</x:v>
      </x:c>
    </x:row>
    <x:row r="12" ht="44" customHeight="1">
      <x:c r="A12" s="22" t="str">
        <x:v>U069</x:v>
      </x:c>
      <x:c r="B12" s="22" t="str">
        <x:v>/keyboard-notes/chart</x:v>
      </x:c>
      <x:c r="C12" s="22" t="str">
        <x:v>keyboard_notes</x:v>
      </x:c>
      <x:c r="D12" s="22" t="str">
        <x:v>other_module</x:v>
      </x:c>
      <x:c r="E12" s="22" t="str">
        <x:v>piano notes chart</x:v>
      </x:c>
      <x:c r="F12" s="22" t="n">
        <x:v>4400</x:v>
      </x:c>
      <x:c r="G12" s="22" t="str">
        <x:v>先做</x:v>
      </x:c>
      <x:c r="H12" s="22" t="str">
        <x:v>not_established_by_this_chords_audit</x:v>
      </x:c>
      <x:c r="I12" s="22" t="str">
        <x:v>preserve_original_plan_no_auto_release</x:v>
      </x:c>
    </x:row>
    <x:row r="13" ht="44" customHeight="1">
      <x:c r="A13" s="22" t="str">
        <x:v>U075</x:v>
      </x:c>
      <x:c r="B13" s="22" t="str">
        <x:v>/chords</x:v>
      </x:c>
      <x:c r="C13" s="22" t="str">
        <x:v>chords</x:v>
      </x:c>
      <x:c r="D13" s="22" t="str">
        <x:v>core_chords</x:v>
      </x:c>
      <x:c r="E13" s="22" t="str">
        <x:v>piano chord chart</x:v>
      </x:c>
      <x:c r="F13" s="22" t="n">
        <x:v>6600</x:v>
      </x:c>
      <x:c r="G13" s="22" t="str">
        <x:v>先做</x:v>
      </x:c>
      <x:c r="H13" s="22" t="str">
        <x:v>user_report_exists</x:v>
      </x:c>
      <x:c r="I13" s="22" t="str">
        <x:v>preserve_and_finish_tasks</x:v>
      </x:c>
    </x:row>
    <x:row r="14" ht="44" customHeight="1">
      <x:c r="A14" s="22" t="str">
        <x:v>U076</x:v>
      </x:c>
      <x:c r="B14" s="22" t="str">
        <x:v>/chords/a-major</x:v>
      </x:c>
      <x:c r="C14" s="22" t="str">
        <x:v>chords</x:v>
      </x:c>
      <x:c r="D14" s="22" t="str">
        <x:v>core_chords</x:v>
      </x:c>
      <x:c r="E14" s="22" t="str">
        <x:v>a chord piano</x:v>
      </x:c>
      <x:c r="F14" s="22" t="n">
        <x:v>4400</x:v>
      </x:c>
      <x:c r="G14" s="22" t="str">
        <x:v>先做</x:v>
      </x:c>
      <x:c r="H14" s="22" t="str">
        <x:v>user_report_exists</x:v>
      </x:c>
      <x:c r="I14" s="22" t="str">
        <x:v>preserve_and_finish_tasks</x:v>
      </x:c>
    </x:row>
    <x:row r="15" ht="44" customHeight="1">
      <x:c r="A15" s="22" t="str">
        <x:v>U078</x:v>
      </x:c>
      <x:c r="B15" s="22" t="str">
        <x:v>/chords/a-minor</x:v>
      </x:c>
      <x:c r="C15" s="22" t="str">
        <x:v>chords</x:v>
      </x:c>
      <x:c r="D15" s="22" t="str">
        <x:v>core_chords</x:v>
      </x:c>
      <x:c r="E15" s="22" t="str">
        <x:v>am piano chord</x:v>
      </x:c>
      <x:c r="F15" s="22" t="n">
        <x:v>1900</x:v>
      </x:c>
      <x:c r="G15" s="22" t="str">
        <x:v>先做</x:v>
      </x:c>
      <x:c r="H15" s="22" t="str">
        <x:v>user_report_exists</x:v>
      </x:c>
      <x:c r="I15" s="22" t="str">
        <x:v>preserve_and_finish_tasks</x:v>
      </x:c>
    </x:row>
    <x:row r="16" ht="44" customHeight="1">
      <x:c r="A16" s="22" t="str">
        <x:v>U081</x:v>
      </x:c>
      <x:c r="B16" s="22" t="str">
        <x:v>/chords/c-major</x:v>
      </x:c>
      <x:c r="C16" s="22" t="str">
        <x:v>chords</x:v>
      </x:c>
      <x:c r="D16" s="22" t="str">
        <x:v>core_chords</x:v>
      </x:c>
      <x:c r="E16" s="22" t="str">
        <x:v>c chords piano</x:v>
      </x:c>
      <x:c r="F16" s="22" t="n">
        <x:v>480</x:v>
      </x:c>
      <x:c r="G16" s="22" t="str">
        <x:v>先做</x:v>
      </x:c>
      <x:c r="H16" s="22" t="str">
        <x:v>user_report_exists</x:v>
      </x:c>
      <x:c r="I16" s="22" t="str">
        <x:v>preserve_and_finish_tasks</x:v>
      </x:c>
    </x:row>
    <x:row r="17" ht="44" customHeight="1">
      <x:c r="A17" s="22" t="str">
        <x:v>U088</x:v>
      </x:c>
      <x:c r="B17" s="22" t="str">
        <x:v>/scales</x:v>
      </x:c>
      <x:c r="C17" s="22" t="str">
        <x:v>scales</x:v>
      </x:c>
      <x:c r="D17" s="22" t="str">
        <x:v>other_module</x:v>
      </x:c>
      <x:c r="E17" s="22" t="str">
        <x:v>piano scales</x:v>
      </x:c>
      <x:c r="F17" s="22" t="n">
        <x:v>6600</x:v>
      </x:c>
      <x:c r="G17" s="22" t="str">
        <x:v>先做</x:v>
      </x:c>
      <x:c r="H17" s="22" t="str">
        <x:v>not_established_by_this_chords_audit</x:v>
      </x:c>
      <x:c r="I17" s="22" t="str">
        <x:v>preserve_original_plan_no_auto_release</x:v>
      </x:c>
    </x:row>
    <x:row r="18" ht="44" customHeight="1">
      <x:c r="A18" s="22" t="str">
        <x:v>U090</x:v>
      </x:c>
      <x:c r="B18" s="22" t="str">
        <x:v>/scales/c-major</x:v>
      </x:c>
      <x:c r="C18" s="22" t="str">
        <x:v>scales</x:v>
      </x:c>
      <x:c r="D18" s="22" t="str">
        <x:v>other_module</x:v>
      </x:c>
      <x:c r="E18" s="22" t="str">
        <x:v>c major scale piano</x:v>
      </x:c>
      <x:c r="F18" s="22" t="n">
        <x:v>1300</x:v>
      </x:c>
      <x:c r="G18" s="22" t="str">
        <x:v>先做</x:v>
      </x:c>
      <x:c r="H18" s="22" t="str">
        <x:v>not_established_by_this_chords_audit</x:v>
      </x:c>
      <x:c r="I18" s="22" t="str">
        <x:v>preserve_original_plan_no_auto_release</x:v>
      </x:c>
    </x:row>
    <x:row r="19" ht="44" customHeight="1">
      <x:c r="A19" s="22" t="str">
        <x:v>U091</x:v>
      </x:c>
      <x:c r="B19" s="22" t="str">
        <x:v>/scales/a-minor</x:v>
      </x:c>
      <x:c r="C19" s="22" t="str">
        <x:v>scales</x:v>
      </x:c>
      <x:c r="D19" s="22" t="str">
        <x:v>other_module</x:v>
      </x:c>
      <x:c r="E19" s="22" t="str">
        <x:v>a minor scale piano</x:v>
      </x:c>
      <x:c r="F19" s="22" t="n">
        <x:v>1000</x:v>
      </x:c>
      <x:c r="G19" s="22" t="str">
        <x:v>先做</x:v>
      </x:c>
      <x:c r="H19" s="22" t="str">
        <x:v>not_established_by_this_chords_audit</x:v>
      </x:c>
      <x:c r="I19" s="22" t="str">
        <x:v>preserve_original_plan_no_auto_release</x:v>
      </x:c>
    </x:row>
    <x:row r="20" ht="44" customHeight="1">
      <x:c r="A20" s="22" t="str">
        <x:v>U114</x:v>
      </x:c>
      <x:c r="B20" s="22" t="str">
        <x:v>/guide</x:v>
      </x:c>
      <x:c r="C20" s="22" t="str">
        <x:v>guide</x:v>
      </x:c>
      <x:c r="D20" s="22" t="str">
        <x:v>other_module</x:v>
      </x:c>
      <x:c r="E20" s="22" t="str">
        <x:v>how to play piano for beginners</x:v>
      </x:c>
      <x:c r="F20" s="22" t="n">
        <x:v>1300</x:v>
      </x:c>
      <x:c r="G20" s="22" t="str">
        <x:v>先做</x:v>
      </x:c>
      <x:c r="H20" s="22" t="str">
        <x:v>not_established_by_this_chords_audit</x:v>
      </x:c>
      <x:c r="I20" s="22" t="str">
        <x:v>preserve_original_plan_no_auto_release</x:v>
      </x:c>
    </x:row>
    <x:row r="21" ht="44" customHeight="1">
      <x:c r="A21" s="22" t="str">
        <x:v>U115</x:v>
      </x:c>
      <x:c r="B21" s="22" t="str">
        <x:v>/guide/read-sheet-music</x:v>
      </x:c>
      <x:c r="C21" s="22" t="str">
        <x:v>guide</x:v>
      </x:c>
      <x:c r="D21" s="22" t="str">
        <x:v>other_module</x:v>
      </x:c>
      <x:c r="E21" s="22" t="str">
        <x:v>how to read sheet music piano</x:v>
      </x:c>
      <x:c r="F21" s="22" t="n">
        <x:v>18100</x:v>
      </x:c>
      <x:c r="G21" s="22" t="str">
        <x:v>先做</x:v>
      </x:c>
      <x:c r="H21" s="22" t="str">
        <x:v>not_established_by_this_chords_audit</x:v>
      </x:c>
      <x:c r="I21" s="22" t="str">
        <x:v>preserve_original_plan_no_auto_release</x:v>
      </x:c>
    </x:row>
    <x:row r="22" ht="44" customHeight="1">
      <x:c r="A22" s="22" t="str">
        <x:v>U005</x:v>
      </x:c>
      <x:c r="B22" s="22" t="str">
        <x:v>/songs/christmas</x:v>
      </x:c>
      <x:c r="C22" s="22" t="str">
        <x:v>songs</x:v>
      </x:c>
      <x:c r="D22" s="22" t="str">
        <x:v>other_module</x:v>
      </x:c>
      <x:c r="E22" s="22" t="str">
        <x:v>easy christmas songs in piano</x:v>
      </x:c>
      <x:c r="F22" s="22" t="n">
        <x:v>2900</x:v>
      </x:c>
      <x:c r="G22" s="22" t="str">
        <x:v>后做</x:v>
      </x:c>
      <x:c r="H22" s="22" t="str">
        <x:v>not_established_by_this_chords_audit</x:v>
      </x:c>
      <x:c r="I22" s="22" t="str">
        <x:v>preserve_original_plan_no_auto_release</x:v>
      </x:c>
    </x:row>
    <x:row r="23" ht="44" customHeight="1">
      <x:c r="A23" s="22" t="str">
        <x:v>U006</x:v>
      </x:c>
      <x:c r="B23" s="22" t="str">
        <x:v>/songs/challenging</x:v>
      </x:c>
      <x:c r="C23" s="22" t="str">
        <x:v>songs</x:v>
      </x:c>
      <x:c r="D23" s="22" t="str">
        <x:v>other_module</x:v>
      </x:c>
      <x:c r="E23" s="22" t="str">
        <x:v>hardest piano song</x:v>
      </x:c>
      <x:c r="F23" s="22" t="n">
        <x:v>1900</x:v>
      </x:c>
      <x:c r="G23" s="22" t="str">
        <x:v>后做</x:v>
      </x:c>
      <x:c r="H23" s="22" t="str">
        <x:v>not_established_by_this_chords_audit</x:v>
      </x:c>
      <x:c r="I23" s="22" t="str">
        <x:v>preserve_original_plan_no_auto_release</x:v>
      </x:c>
    </x:row>
    <x:row r="24" ht="44" customHeight="1">
      <x:c r="A24" s="22" t="str">
        <x:v>U007</x:v>
      </x:c>
      <x:c r="B24" s="22" t="str">
        <x:v>/songs/pop</x:v>
      </x:c>
      <x:c r="C24" s="22" t="str">
        <x:v>songs</x:v>
      </x:c>
      <x:c r="D24" s="22" t="str">
        <x:v>other_module</x:v>
      </x:c>
      <x:c r="E24" s="22" t="str">
        <x:v>easiest pop piano songs</x:v>
      </x:c>
      <x:c r="F24" s="22" t="n">
        <x:v>1300</x:v>
      </x:c>
      <x:c r="G24" s="22" t="str">
        <x:v>后做</x:v>
      </x:c>
      <x:c r="H24" s="22" t="str">
        <x:v>not_established_by_this_chords_audit</x:v>
      </x:c>
      <x:c r="I24" s="22" t="str">
        <x:v>preserve_original_plan_no_auto_release</x:v>
      </x:c>
    </x:row>
    <x:row r="25" ht="44" customHeight="1">
      <x:c r="A25" s="22" t="str">
        <x:v>U008</x:v>
      </x:c>
      <x:c r="B25" s="22" t="str">
        <x:v>/songs/classical</x:v>
      </x:c>
      <x:c r="C25" s="22" t="str">
        <x:v>songs</x:v>
      </x:c>
      <x:c r="D25" s="22" t="str">
        <x:v>other_module</x:v>
      </x:c>
      <x:c r="E25" s="22" t="str">
        <x:v>classical piano songs</x:v>
      </x:c>
      <x:c r="F25" s="22" t="n">
        <x:v>1000</x:v>
      </x:c>
      <x:c r="G25" s="22" t="str">
        <x:v>后做</x:v>
      </x:c>
      <x:c r="H25" s="22" t="str">
        <x:v>not_established_by_this_chords_audit</x:v>
      </x:c>
      <x:c r="I25" s="22" t="str">
        <x:v>preserve_original_plan_no_auto_release</x:v>
      </x:c>
    </x:row>
    <x:row r="26" ht="44" customHeight="1">
      <x:c r="A26" s="22" t="str">
        <x:v>U009</x:v>
      </x:c>
      <x:c r="B26" s="22" t="str">
        <x:v>/songs/easy-chords</x:v>
      </x:c>
      <x:c r="C26" s="22" t="str">
        <x:v>songs</x:v>
      </x:c>
      <x:c r="D26" s="22" t="str">
        <x:v>adjacent_dependency</x:v>
      </x:c>
      <x:c r="E26" s="22" t="str">
        <x:v>easy chords songs for beginners piano</x:v>
      </x:c>
      <x:c r="F26" s="22" t="n">
        <x:v>880</x:v>
      </x:c>
      <x:c r="G26" s="22" t="str">
        <x:v>后做</x:v>
      </x:c>
      <x:c r="H26" s="22" t="str">
        <x:v>not_established_by_this_chords_audit</x:v>
      </x:c>
      <x:c r="I26" s="22" t="str">
        <x:v>preserve_original_plan_no_auto_release</x:v>
      </x:c>
    </x:row>
    <x:row r="27" ht="44" customHeight="1">
      <x:c r="A27" s="22" t="str">
        <x:v>U010</x:v>
      </x:c>
      <x:c r="B27" s="22" t="str">
        <x:v>/songs/anime</x:v>
      </x:c>
      <x:c r="C27" s="22" t="str">
        <x:v>songs</x:v>
      </x:c>
      <x:c r="D27" s="22" t="str">
        <x:v>other_module</x:v>
      </x:c>
      <x:c r="E27" s="22" t="str">
        <x:v>most lovely piano anime songs</x:v>
      </x:c>
      <x:c r="F27" s="22" t="n">
        <x:v>880</x:v>
      </x:c>
      <x:c r="G27" s="22" t="str">
        <x:v>后做</x:v>
      </x:c>
      <x:c r="H27" s="22" t="str">
        <x:v>not_established_by_this_chords_audit</x:v>
      </x:c>
      <x:c r="I27" s="22" t="str">
        <x:v>preserve_original_plan_no_auto_release</x:v>
      </x:c>
    </x:row>
    <x:row r="28" ht="44" customHeight="1">
      <x:c r="A28" s="22" t="str">
        <x:v>U011</x:v>
      </x:c>
      <x:c r="B28" s="22" t="str">
        <x:v>/songs/minecraft</x:v>
      </x:c>
      <x:c r="C28" s="22" t="str">
        <x:v>songs</x:v>
      </x:c>
      <x:c r="D28" s="22" t="str">
        <x:v>other_module</x:v>
      </x:c>
      <x:c r="E28" s="22" t="str">
        <x:v>piano minecraft songs</x:v>
      </x:c>
      <x:c r="F28" s="22" t="n">
        <x:v>880</x:v>
      </x:c>
      <x:c r="G28" s="22" t="str">
        <x:v>后做</x:v>
      </x:c>
      <x:c r="H28" s="22" t="str">
        <x:v>not_established_by_this_chords_audit</x:v>
      </x:c>
      <x:c r="I28" s="22" t="str">
        <x:v>preserve_original_plan_no_auto_release</x:v>
      </x:c>
    </x:row>
    <x:row r="29" ht="44" customHeight="1">
      <x:c r="A29" s="22" t="str">
        <x:v>U012</x:v>
      </x:c>
      <x:c r="B29" s="22" t="str">
        <x:v>/songs/rock</x:v>
      </x:c>
      <x:c r="C29" s="22" t="str">
        <x:v>songs</x:v>
      </x:c>
      <x:c r="D29" s="22" t="str">
        <x:v>other_module</x:v>
      </x:c>
      <x:c r="E29" s="22" t="str">
        <x:v>piano rock songs</x:v>
      </x:c>
      <x:c r="F29" s="22" t="n">
        <x:v>720</x:v>
      </x:c>
      <x:c r="G29" s="22" t="str">
        <x:v>后做</x:v>
      </x:c>
      <x:c r="H29" s="22" t="str">
        <x:v>not_established_by_this_chords_audit</x:v>
      </x:c>
      <x:c r="I29" s="22" t="str">
        <x:v>preserve_original_plan_no_auto_release</x:v>
      </x:c>
    </x:row>
    <x:row r="30" ht="44" customHeight="1">
      <x:c r="A30" s="22" t="str">
        <x:v>U013</x:v>
      </x:c>
      <x:c r="B30" s="22" t="str">
        <x:v>/songs/taylor-swift</x:v>
      </x:c>
      <x:c r="C30" s="22" t="str">
        <x:v>songs</x:v>
      </x:c>
      <x:c r="D30" s="22" t="str">
        <x:v>other_module</x:v>
      </x:c>
      <x:c r="E30" s="22" t="str">
        <x:v>taylor swift piano songs</x:v>
      </x:c>
      <x:c r="F30" s="22" t="n">
        <x:v>720</x:v>
      </x:c>
      <x:c r="G30" s="22" t="str">
        <x:v>后做</x:v>
      </x:c>
      <x:c r="H30" s="22" t="str">
        <x:v>not_established_by_this_chords_audit</x:v>
      </x:c>
      <x:c r="I30" s="22" t="str">
        <x:v>preserve_original_plan_no_auto_release</x:v>
      </x:c>
    </x:row>
    <x:row r="31" ht="44" customHeight="1">
      <x:c r="A31" s="22" t="str">
        <x:v>U014</x:v>
      </x:c>
      <x:c r="B31" s="22" t="str">
        <x:v>/songs/disney</x:v>
      </x:c>
      <x:c r="C31" s="22" t="str">
        <x:v>songs</x:v>
      </x:c>
      <x:c r="D31" s="22" t="str">
        <x:v>other_module</x:v>
      </x:c>
      <x:c r="E31" s="22" t="str">
        <x:v>disney easy piano songs</x:v>
      </x:c>
      <x:c r="F31" s="22" t="n">
        <x:v>590</x:v>
      </x:c>
      <x:c r="G31" s="22" t="str">
        <x:v>后做</x:v>
      </x:c>
      <x:c r="H31" s="22" t="str">
        <x:v>not_established_by_this_chords_audit</x:v>
      </x:c>
      <x:c r="I31" s="22" t="str">
        <x:v>preserve_original_plan_no_auto_release</x:v>
      </x:c>
    </x:row>
    <x:row r="32" ht="44" customHeight="1">
      <x:c r="A32" s="22" t="str">
        <x:v>U015</x:v>
      </x:c>
      <x:c r="B32" s="22" t="str">
        <x:v>/songs/wedding</x:v>
      </x:c>
      <x:c r="C32" s="22" t="str">
        <x:v>songs</x:v>
      </x:c>
      <x:c r="D32" s="22" t="str">
        <x:v>other_module</x:v>
      </x:c>
      <x:c r="E32" s="22" t="str">
        <x:v>piano wedding songs</x:v>
      </x:c>
      <x:c r="F32" s="22" t="n">
        <x:v>590</x:v>
      </x:c>
      <x:c r="G32" s="22" t="str">
        <x:v>后做</x:v>
      </x:c>
      <x:c r="H32" s="22" t="str">
        <x:v>not_established_by_this_chords_audit</x:v>
      </x:c>
      <x:c r="I32" s="22" t="str">
        <x:v>preserve_original_plan_no_auto_release</x:v>
      </x:c>
    </x:row>
    <x:row r="33" ht="44" customHeight="1">
      <x:c r="A33" s="22" t="str">
        <x:v>U016</x:v>
      </x:c>
      <x:c r="B33" s="22" t="str">
        <x:v>/songs/worship</x:v>
      </x:c>
      <x:c r="C33" s="22" t="str">
        <x:v>songs</x:v>
      </x:c>
      <x:c r="D33" s="22" t="str">
        <x:v>other_module</x:v>
      </x:c>
      <x:c r="E33" s="22" t="str">
        <x:v>piano worship songs</x:v>
      </x:c>
      <x:c r="F33" s="22" t="n">
        <x:v>480</x:v>
      </x:c>
      <x:c r="G33" s="22" t="str">
        <x:v>后做</x:v>
      </x:c>
      <x:c r="H33" s="22" t="str">
        <x:v>not_established_by_this_chords_audit</x:v>
      </x:c>
      <x:c r="I33" s="22" t="str">
        <x:v>preserve_original_plan_no_auto_release</x:v>
      </x:c>
    </x:row>
    <x:row r="34" ht="44" customHeight="1">
      <x:c r="A34" s="22" t="str">
        <x:v>U017</x:v>
      </x:c>
      <x:c r="B34" s="22" t="str">
        <x:v>/songs/rap</x:v>
      </x:c>
      <x:c r="C34" s="22" t="str">
        <x:v>songs</x:v>
      </x:c>
      <x:c r="D34" s="22" t="str">
        <x:v>other_module</x:v>
      </x:c>
      <x:c r="E34" s="22" t="str">
        <x:v>rap songs for piano</x:v>
      </x:c>
      <x:c r="F34" s="22" t="n">
        <x:v>480</x:v>
      </x:c>
      <x:c r="G34" s="22" t="str">
        <x:v>后做</x:v>
      </x:c>
      <x:c r="H34" s="22" t="str">
        <x:v>not_established_by_this_chords_audit</x:v>
      </x:c>
      <x:c r="I34" s="22" t="str">
        <x:v>preserve_original_plan_no_auto_release</x:v>
      </x:c>
    </x:row>
    <x:row r="35" ht="44" customHeight="1">
      <x:c r="A35" s="22" t="str">
        <x:v>U018</x:v>
      </x:c>
      <x:c r="B35" s="22" t="str">
        <x:v>/songs/piano-and-guitar</x:v>
      </x:c>
      <x:c r="C35" s="22" t="str">
        <x:v>songs</x:v>
      </x:c>
      <x:c r="D35" s="22" t="str">
        <x:v>other_module</x:v>
      </x:c>
      <x:c r="E35" s="22" t="str">
        <x:v>piano and guitar songs</x:v>
      </x:c>
      <x:c r="F35" s="22" t="n">
        <x:v>390</x:v>
      </x:c>
      <x:c r="G35" s="22" t="str">
        <x:v>后做</x:v>
      </x:c>
      <x:c r="H35" s="22" t="str">
        <x:v>not_established_by_this_chords_audit</x:v>
      </x:c>
      <x:c r="I35" s="22" t="str">
        <x:v>preserve_original_plan_no_auto_release</x:v>
      </x:c>
    </x:row>
    <x:row r="36" ht="44" customHeight="1">
      <x:c r="A36" s="22" t="str">
        <x:v>U019</x:v>
      </x:c>
      <x:c r="B36" s="22" t="str">
        <x:v>/songs/beatles</x:v>
      </x:c>
      <x:c r="C36" s="22" t="str">
        <x:v>songs</x:v>
      </x:c>
      <x:c r="D36" s="22" t="str">
        <x:v>other_module</x:v>
      </x:c>
      <x:c r="E36" s="22" t="str">
        <x:v>beatles piano songs</x:v>
      </x:c>
      <x:c r="F36" s="22" t="n">
        <x:v>320</x:v>
      </x:c>
      <x:c r="G36" s="22" t="str">
        <x:v>后做</x:v>
      </x:c>
      <x:c r="H36" s="22" t="str">
        <x:v>not_established_by_this_chords_audit</x:v>
      </x:c>
      <x:c r="I36" s="22" t="str">
        <x:v>preserve_original_plan_no_auto_release</x:v>
      </x:c>
    </x:row>
    <x:row r="37" ht="44" customHeight="1">
      <x:c r="A37" s="22" t="str">
        <x:v>U020</x:v>
      </x:c>
      <x:c r="B37" s="22" t="str">
        <x:v>/songs/coldplay</x:v>
      </x:c>
      <x:c r="C37" s="22" t="str">
        <x:v>songs</x:v>
      </x:c>
      <x:c r="D37" s="22" t="str">
        <x:v>other_module</x:v>
      </x:c>
      <x:c r="E37" s="22" t="str">
        <x:v>coldplay piano songs</x:v>
      </x:c>
      <x:c r="F37" s="22" t="n">
        <x:v>320</x:v>
      </x:c>
      <x:c r="G37" s="22" t="str">
        <x:v>后做</x:v>
      </x:c>
      <x:c r="H37" s="22" t="str">
        <x:v>not_established_by_this_chords_audit</x:v>
      </x:c>
      <x:c r="I37" s="22" t="str">
        <x:v>preserve_original_plan_no_auto_release</x:v>
      </x:c>
    </x:row>
    <x:row r="38" ht="44" customHeight="1">
      <x:c r="A38" s="22" t="str">
        <x:v>U021</x:v>
      </x:c>
      <x:c r="B38" s="22" t="str">
        <x:v>/songs/country</x:v>
      </x:c>
      <x:c r="C38" s="22" t="str">
        <x:v>songs</x:v>
      </x:c>
      <x:c r="D38" s="22" t="str">
        <x:v>other_module</x:v>
      </x:c>
      <x:c r="E38" s="22" t="str">
        <x:v>country music piano songs</x:v>
      </x:c>
      <x:c r="F38" s="22" t="n">
        <x:v>320</x:v>
      </x:c>
      <x:c r="G38" s="22" t="str">
        <x:v>后做</x:v>
      </x:c>
      <x:c r="H38" s="22" t="str">
        <x:v>not_established_by_this_chords_audit</x:v>
      </x:c>
      <x:c r="I38" s="22" t="str">
        <x:v>preserve_original_plan_no_auto_release</x:v>
      </x:c>
    </x:row>
    <x:row r="39" ht="44" customHeight="1">
      <x:c r="A39" s="22" t="str">
        <x:v>U022</x:v>
      </x:c>
      <x:c r="B39" s="22" t="str">
        <x:v>/songs/jazz</x:v>
      </x:c>
      <x:c r="C39" s="22" t="str">
        <x:v>songs</x:v>
      </x:c>
      <x:c r="D39" s="22" t="str">
        <x:v>other_module</x:v>
      </x:c>
      <x:c r="E39" s="22" t="str">
        <x:v>jazz piano songs</x:v>
      </x:c>
      <x:c r="F39" s="22" t="n">
        <x:v>320</x:v>
      </x:c>
      <x:c r="G39" s="22" t="str">
        <x:v>后做</x:v>
      </x:c>
      <x:c r="H39" s="22" t="str">
        <x:v>not_established_by_this_chords_audit</x:v>
      </x:c>
      <x:c r="I39" s="22" t="str">
        <x:v>preserve_original_plan_no_auto_release</x:v>
      </x:c>
    </x:row>
    <x:row r="40" ht="44" customHeight="1">
      <x:c r="A40" s="22" t="str">
        <x:v>U023</x:v>
      </x:c>
      <x:c r="B40" s="22" t="str">
        <x:v>/songs/halloween</x:v>
      </x:c>
      <x:c r="C40" s="22" t="str">
        <x:v>songs</x:v>
      </x:c>
      <x:c r="D40" s="22" t="str">
        <x:v>other_module</x:v>
      </x:c>
      <x:c r="E40" s="22" t="str">
        <x:v>piano songs for halloween</x:v>
      </x:c>
      <x:c r="F40" s="22" t="n">
        <x:v>320</x:v>
      </x:c>
      <x:c r="G40" s="22" t="str">
        <x:v>后做</x:v>
      </x:c>
      <x:c r="H40" s="22" t="str">
        <x:v>not_established_by_this_chords_audit</x:v>
      </x:c>
      <x:c r="I40" s="22" t="str">
        <x:v>preserve_original_plan_no_auto_release</x:v>
      </x:c>
    </x:row>
    <x:row r="41" ht="44" customHeight="1">
      <x:c r="A41" s="22" t="str">
        <x:v>U024</x:v>
      </x:c>
      <x:c r="B41" s="22" t="str">
        <x:v>/songs/undertale</x:v>
      </x:c>
      <x:c r="C41" s="22" t="str">
        <x:v>songs</x:v>
      </x:c>
      <x:c r="D41" s="22" t="str">
        <x:v>other_module</x:v>
      </x:c>
      <x:c r="E41" s="22" t="str">
        <x:v>undertale songs on piano</x:v>
      </x:c>
      <x:c r="F41" s="22" t="n">
        <x:v>320</x:v>
      </x:c>
      <x:c r="G41" s="22" t="str">
        <x:v>后做</x:v>
      </x:c>
      <x:c r="H41" s="22" t="str">
        <x:v>not_established_by_this_chords_audit</x:v>
      </x:c>
      <x:c r="I41" s="22" t="str">
        <x:v>preserve_original_plan_no_auto_release</x:v>
      </x:c>
    </x:row>
    <x:row r="42" ht="44" customHeight="1">
      <x:c r="A42" s="22" t="str">
        <x:v>U025</x:v>
      </x:c>
      <x:c r="B42" s="22" t="str">
        <x:v>/sheet-music</x:v>
      </x:c>
      <x:c r="C42" s="22" t="str">
        <x:v>sheet_music</x:v>
      </x:c>
      <x:c r="D42" s="22" t="str">
        <x:v>other_module</x:v>
      </x:c>
      <x:c r="E42" s="22" t="str">
        <x:v>piano music sheet</x:v>
      </x:c>
      <x:c r="F42" s="22" t="n">
        <x:v>2900</x:v>
      </x:c>
      <x:c r="G42" s="22" t="str">
        <x:v>后做</x:v>
      </x:c>
      <x:c r="H42" s="22" t="str">
        <x:v>not_established_by_this_chords_audit</x:v>
      </x:c>
      <x:c r="I42" s="22" t="str">
        <x:v>preserve_original_plan_no_auto_release</x:v>
      </x:c>
    </x:row>
    <x:row r="43" ht="44" customHeight="1">
      <x:c r="A43" s="22" t="str">
        <x:v>U026</x:v>
      </x:c>
      <x:c r="B43" s="22" t="str">
        <x:v>/sheet-music/easy</x:v>
      </x:c>
      <x:c r="C43" s="22" t="str">
        <x:v>sheet_music</x:v>
      </x:c>
      <x:c r="D43" s="22" t="str">
        <x:v>other_module</x:v>
      </x:c>
      <x:c r="E43" s="22" t="str">
        <x:v>easy piano sheet music</x:v>
      </x:c>
      <x:c r="F43" s="22" t="n">
        <x:v>8100</x:v>
      </x:c>
      <x:c r="G43" s="22" t="str">
        <x:v>后做</x:v>
      </x:c>
      <x:c r="H43" s="22" t="str">
        <x:v>not_established_by_this_chords_audit</x:v>
      </x:c>
      <x:c r="I43" s="22" t="str">
        <x:v>preserve_original_plan_no_auto_release</x:v>
      </x:c>
    </x:row>
    <x:row r="44" ht="44" customHeight="1">
      <x:c r="A44" s="22" t="str">
        <x:v>U027</x:v>
      </x:c>
      <x:c r="B44" s="22" t="str">
        <x:v>/sheet-music/beginner</x:v>
      </x:c>
      <x:c r="C44" s="22" t="str">
        <x:v>sheet_music</x:v>
      </x:c>
      <x:c r="D44" s="22" t="str">
        <x:v>other_module</x:v>
      </x:c>
      <x:c r="E44" s="22" t="str">
        <x:v>beginner piano sheet music</x:v>
      </x:c>
      <x:c r="F44" s="22" t="n">
        <x:v>6600</x:v>
      </x:c>
      <x:c r="G44" s="22" t="str">
        <x:v>后做</x:v>
      </x:c>
      <x:c r="H44" s="22" t="str">
        <x:v>not_established_by_this_chords_audit</x:v>
      </x:c>
      <x:c r="I44" s="22" t="str">
        <x:v>preserve_original_plan_no_auto_release</x:v>
      </x:c>
    </x:row>
    <x:row r="45" ht="44" customHeight="1">
      <x:c r="A45" s="22" t="str">
        <x:v>U028</x:v>
      </x:c>
      <x:c r="B45" s="22" t="str">
        <x:v>/sheet-music/christmas</x:v>
      </x:c>
      <x:c r="C45" s="22" t="str">
        <x:v>sheet_music</x:v>
      </x:c>
      <x:c r="D45" s="22" t="str">
        <x:v>other_module</x:v>
      </x:c>
      <x:c r="E45" s="22" t="str">
        <x:v>christmas songs piano score</x:v>
      </x:c>
      <x:c r="F45" s="22" t="n">
        <x:v>2900</x:v>
      </x:c>
      <x:c r="G45" s="22" t="str">
        <x:v>后做</x:v>
      </x:c>
      <x:c r="H45" s="22" t="str">
        <x:v>not_established_by_this_chords_audit</x:v>
      </x:c>
      <x:c r="I45" s="22" t="str">
        <x:v>preserve_original_plan_no_auto_release</x:v>
      </x:c>
    </x:row>
    <x:row r="46" ht="44" customHeight="1">
      <x:c r="A46" s="22" t="str">
        <x:v>U029</x:v>
      </x:c>
      <x:c r="B46" s="22" t="str">
        <x:v>/sheet-music/letter-notes</x:v>
      </x:c>
      <x:c r="C46" s="22" t="str">
        <x:v>sheet_music</x:v>
      </x:c>
      <x:c r="D46" s="22" t="str">
        <x:v>other_module</x:v>
      </x:c>
      <x:c r="E46" s="22" t="str">
        <x:v>songs with letters piano</x:v>
      </x:c>
      <x:c r="F46" s="22" t="n">
        <x:v>1900</x:v>
      </x:c>
      <x:c r="G46" s="22" t="str">
        <x:v>后做</x:v>
      </x:c>
      <x:c r="H46" s="22" t="str">
        <x:v>not_established_by_this_chords_audit</x:v>
      </x:c>
      <x:c r="I46" s="22" t="str">
        <x:v>preserve_original_plan_no_auto_release</x:v>
      </x:c>
    </x:row>
    <x:row r="47" ht="44" customHeight="1">
      <x:c r="A47" s="22" t="str">
        <x:v>U030</x:v>
      </x:c>
      <x:c r="B47" s="22" t="str">
        <x:v>/sheet-music/annotated</x:v>
      </x:c>
      <x:c r="C47" s="22" t="str">
        <x:v>sheet_music</x:v>
      </x:c>
      <x:c r="D47" s="22" t="str">
        <x:v>other_module</x:v>
      </x:c>
      <x:c r="E47" s="22" t="str">
        <x:v>piano sheet music with letters</x:v>
      </x:c>
      <x:c r="F47" s="22" t="n">
        <x:v>1600</x:v>
      </x:c>
      <x:c r="G47" s="22" t="str">
        <x:v>后做</x:v>
      </x:c>
      <x:c r="H47" s="22" t="str">
        <x:v>not_established_by_this_chords_audit</x:v>
      </x:c>
      <x:c r="I47" s="22" t="str">
        <x:v>preserve_original_plan_no_auto_release</x:v>
      </x:c>
    </x:row>
    <x:row r="48" ht="44" customHeight="1">
      <x:c r="A48" s="22" t="str">
        <x:v>U031</x:v>
      </x:c>
      <x:c r="B48" s="22" t="str">
        <x:v>/sheet-music/lead-sheets</x:v>
      </x:c>
      <x:c r="C48" s="22" t="str">
        <x:v>sheet_music</x:v>
      </x:c>
      <x:c r="D48" s="22" t="str">
        <x:v>adjacent_dependency</x:v>
      </x:c>
      <x:c r="E48" s="22" t="str">
        <x:v>piano chords songs</x:v>
      </x:c>
      <x:c r="F48" s="22" t="n">
        <x:v>1300</x:v>
      </x:c>
      <x:c r="G48" s="22" t="str">
        <x:v>后做</x:v>
      </x:c>
      <x:c r="H48" s="22" t="str">
        <x:v>not_established_by_this_chords_audit</x:v>
      </x:c>
      <x:c r="I48" s="22" t="str">
        <x:v>preserve_original_plan_no_auto_release</x:v>
      </x:c>
    </x:row>
    <x:row r="49" ht="44" customHeight="1">
      <x:c r="A49" s="22" t="str">
        <x:v>U032</x:v>
      </x:c>
      <x:c r="B49" s="22" t="str">
        <x:v>/sheet-music/pop</x:v>
      </x:c>
      <x:c r="C49" s="22" t="str">
        <x:v>sheet_music</x:v>
      </x:c>
      <x:c r="D49" s="22" t="str">
        <x:v>other_module</x:v>
      </x:c>
      <x:c r="E49" s="22" t="str">
        <x:v>popular piano sheet music</x:v>
      </x:c>
      <x:c r="F49" s="22" t="n">
        <x:v>480</x:v>
      </x:c>
      <x:c r="G49" s="22" t="str">
        <x:v>后做</x:v>
      </x:c>
      <x:c r="H49" s="22" t="str">
        <x:v>not_established_by_this_chords_audit</x:v>
      </x:c>
      <x:c r="I49" s="22" t="str">
        <x:v>preserve_original_plan_no_auto_release</x:v>
      </x:c>
    </x:row>
    <x:row r="50" ht="44" customHeight="1">
      <x:c r="A50" s="22" t="str">
        <x:v>U033</x:v>
      </x:c>
      <x:c r="B50" s="22" t="str">
        <x:v>/sheet-music/disney</x:v>
      </x:c>
      <x:c r="C50" s="22" t="str">
        <x:v>sheet_music</x:v>
      </x:c>
      <x:c r="D50" s="22" t="str">
        <x:v>other_module</x:v>
      </x:c>
      <x:c r="E50" s="22" t="str">
        <x:v>disney song piano sheet for beginners</x:v>
      </x:c>
      <x:c r="F50" s="22" t="n">
        <x:v>390</x:v>
      </x:c>
      <x:c r="G50" s="22" t="str">
        <x:v>后做</x:v>
      </x:c>
      <x:c r="H50" s="22" t="str">
        <x:v>not_established_by_this_chords_audit</x:v>
      </x:c>
      <x:c r="I50" s="22" t="str">
        <x:v>preserve_original_plan_no_auto_release</x:v>
      </x:c>
    </x:row>
    <x:row r="51" ht="44" customHeight="1">
      <x:c r="A51" s="22" t="str">
        <x:v>U034</x:v>
      </x:c>
      <x:c r="B51" s="22" t="str">
        <x:v>/sheet-music/classical</x:v>
      </x:c>
      <x:c r="C51" s="22" t="str">
        <x:v>sheet_music</x:v>
      </x:c>
      <x:c r="D51" s="22" t="str">
        <x:v>other_module</x:v>
      </x:c>
      <x:c r="E51" s="22" t="str">
        <x:v>classical piano sheet music</x:v>
      </x:c>
      <x:c r="F51" s="22"/>
      <x:c r="G51" s="22" t="str">
        <x:v>后做</x:v>
      </x:c>
      <x:c r="H51" s="22" t="str">
        <x:v>not_established_by_this_chords_audit</x:v>
      </x:c>
      <x:c r="I51" s="22" t="str">
        <x:v>preserve_original_plan_no_auto_release</x:v>
      </x:c>
    </x:row>
    <x:row r="52" ht="44" customHeight="1">
      <x:c r="A52" s="22" t="str">
        <x:v>U035</x:v>
      </x:c>
      <x:c r="B52" s="22" t="str">
        <x:v>/sheet-music/jazz</x:v>
      </x:c>
      <x:c r="C52" s="22" t="str">
        <x:v>sheet_music</x:v>
      </x:c>
      <x:c r="D52" s="22" t="str">
        <x:v>other_module</x:v>
      </x:c>
      <x:c r="E52" s="22" t="str">
        <x:v>easy jazz piano sheet music</x:v>
      </x:c>
      <x:c r="F52" s="22"/>
      <x:c r="G52" s="22" t="str">
        <x:v>后做</x:v>
      </x:c>
      <x:c r="H52" s="22" t="str">
        <x:v>not_established_by_this_chords_audit</x:v>
      </x:c>
      <x:c r="I52" s="22" t="str">
        <x:v>preserve_original_plan_no_auto_release</x:v>
      </x:c>
    </x:row>
    <x:row r="53" ht="44" customHeight="1">
      <x:c r="A53" s="22" t="str">
        <x:v>U037</x:v>
      </x:c>
      <x:c r="B53" s="22" t="str">
        <x:v>/sheet-music/jingle-bells</x:v>
      </x:c>
      <x:c r="C53" s="22" t="str">
        <x:v>sheet_music</x:v>
      </x:c>
      <x:c r="D53" s="22" t="str">
        <x:v>other_module</x:v>
      </x:c>
      <x:c r="E53" s="22" t="str">
        <x:v>jingle bells song sheet for piano</x:v>
      </x:c>
      <x:c r="F53" s="22" t="n">
        <x:v>2400</x:v>
      </x:c>
      <x:c r="G53" s="22" t="str">
        <x:v>后做</x:v>
      </x:c>
      <x:c r="H53" s="22" t="str">
        <x:v>not_established_by_this_chords_audit</x:v>
      </x:c>
      <x:c r="I53" s="22" t="str">
        <x:v>preserve_original_plan_no_auto_release</x:v>
      </x:c>
    </x:row>
    <x:row r="54" ht="44" customHeight="1">
      <x:c r="A54" s="22" t="str">
        <x:v>U041</x:v>
      </x:c>
      <x:c r="B54" s="22" t="str">
        <x:v>/sheet-music/amazing-grace</x:v>
      </x:c>
      <x:c r="C54" s="22" t="str">
        <x:v>sheet_music</x:v>
      </x:c>
      <x:c r="D54" s="22" t="str">
        <x:v>other_module</x:v>
      </x:c>
      <x:c r="E54" s="22" t="str">
        <x:v>amazing grace song sheet for piano</x:v>
      </x:c>
      <x:c r="F54" s="22" t="n">
        <x:v>1300</x:v>
      </x:c>
      <x:c r="G54" s="22" t="str">
        <x:v>后做</x:v>
      </x:c>
      <x:c r="H54" s="22" t="str">
        <x:v>not_established_by_this_chords_audit</x:v>
      </x:c>
      <x:c r="I54" s="22" t="str">
        <x:v>preserve_original_plan_no_auto_release</x:v>
      </x:c>
    </x:row>
    <x:row r="55" ht="44" customHeight="1">
      <x:c r="A55" s="22" t="str">
        <x:v>U045</x:v>
      </x:c>
      <x:c r="B55" s="22" t="str">
        <x:v>/sheet-music/fur-elise</x:v>
      </x:c>
      <x:c r="C55" s="22" t="str">
        <x:v>sheet_music</x:v>
      </x:c>
      <x:c r="D55" s="22" t="str">
        <x:v>other_module</x:v>
      </x:c>
      <x:c r="E55" s="22" t="str">
        <x:v>fur elise piano sheet music easy</x:v>
      </x:c>
      <x:c r="F55" s="22" t="n">
        <x:v>720</x:v>
      </x:c>
      <x:c r="G55" s="22" t="str">
        <x:v>后做</x:v>
      </x:c>
      <x:c r="H55" s="22" t="str">
        <x:v>not_established_by_this_chords_audit</x:v>
      </x:c>
      <x:c r="I55" s="22" t="str">
        <x:v>preserve_original_plan_no_auto_release</x:v>
      </x:c>
    </x:row>
    <x:row r="56" ht="44" customHeight="1">
      <x:c r="A56" s="22" t="str">
        <x:v>U048</x:v>
      </x:c>
      <x:c r="B56" s="22" t="str">
        <x:v>/sheet-music/happy-birthday</x:v>
      </x:c>
      <x:c r="C56" s="22" t="str">
        <x:v>sheet_music</x:v>
      </x:c>
      <x:c r="D56" s="22" t="str">
        <x:v>other_module</x:v>
      </x:c>
      <x:c r="E56" s="22" t="str">
        <x:v>happy birthday sheet music piano easy</x:v>
      </x:c>
      <x:c r="F56" s="22" t="n">
        <x:v>480</x:v>
      </x:c>
      <x:c r="G56" s="22" t="str">
        <x:v>后做</x:v>
      </x:c>
      <x:c r="H56" s="22" t="str">
        <x:v>not_established_by_this_chords_audit</x:v>
      </x:c>
      <x:c r="I56" s="22" t="str">
        <x:v>preserve_original_plan_no_auto_release</x:v>
      </x:c>
    </x:row>
    <x:row r="57" ht="44" customHeight="1">
      <x:c r="A57" s="22" t="str">
        <x:v>U052</x:v>
      </x:c>
      <x:c r="B57" s="22" t="str">
        <x:v>/sheet-music/hot-cross-buns</x:v>
      </x:c>
      <x:c r="C57" s="22" t="str">
        <x:v>sheet_music</x:v>
      </x:c>
      <x:c r="D57" s="22" t="str">
        <x:v>other_module</x:v>
      </x:c>
      <x:c r="E57" s="22" t="str">
        <x:v>hot cross buns piano keys</x:v>
      </x:c>
      <x:c r="F57" s="22" t="n">
        <x:v>320</x:v>
      </x:c>
      <x:c r="G57" s="22" t="str">
        <x:v>后做</x:v>
      </x:c>
      <x:c r="H57" s="22" t="str">
        <x:v>not_established_by_this_chords_audit</x:v>
      </x:c>
      <x:c r="I57" s="22" t="str">
        <x:v>preserve_original_plan_no_auto_release</x:v>
      </x:c>
    </x:row>
    <x:row r="58" ht="44" customHeight="1">
      <x:c r="A58" s="22" t="str">
        <x:v>U054</x:v>
      </x:c>
      <x:c r="B58" s="22" t="str">
        <x:v>/sheet-music/jesus-loves-me</x:v>
      </x:c>
      <x:c r="C58" s="22" t="str">
        <x:v>sheet_music</x:v>
      </x:c>
      <x:c r="D58" s="22" t="str">
        <x:v>other_module</x:v>
      </x:c>
      <x:c r="E58" s="22" t="str">
        <x:v>jesus loves me piano keys</x:v>
      </x:c>
      <x:c r="F58" s="22" t="n">
        <x:v>320</x:v>
      </x:c>
      <x:c r="G58" s="22" t="str">
        <x:v>后做</x:v>
      </x:c>
      <x:c r="H58" s="22" t="str">
        <x:v>not_established_by_this_chords_audit</x:v>
      </x:c>
      <x:c r="I58" s="22" t="str">
        <x:v>preserve_original_plan_no_auto_release</x:v>
      </x:c>
    </x:row>
    <x:row r="59" ht="44" customHeight="1">
      <x:c r="A59" s="22" t="str">
        <x:v>U061</x:v>
      </x:c>
      <x:c r="B59" s="22" t="str">
        <x:v>/sheet-music/mary-had-a-little-lamb</x:v>
      </x:c>
      <x:c r="C59" s="22" t="str">
        <x:v>sheet_music</x:v>
      </x:c>
      <x:c r="D59" s="22" t="str">
        <x:v>other_module</x:v>
      </x:c>
      <x:c r="E59" s="22" t="str">
        <x:v>mary had a little lamb piano keys</x:v>
      </x:c>
      <x:c r="F59" s="22" t="n">
        <x:v>260</x:v>
      </x:c>
      <x:c r="G59" s="22" t="str">
        <x:v>后做</x:v>
      </x:c>
      <x:c r="H59" s="22" t="str">
        <x:v>not_established_by_this_chords_audit</x:v>
      </x:c>
      <x:c r="I59" s="22" t="str">
        <x:v>preserve_original_plan_no_auto_release</x:v>
      </x:c>
    </x:row>
    <x:row r="60" ht="44" customHeight="1">
      <x:c r="A60" s="22" t="str">
        <x:v>U062</x:v>
      </x:c>
      <x:c r="B60" s="22" t="str">
        <x:v>/sheet-music/abc-song</x:v>
      </x:c>
      <x:c r="C60" s="22" t="str">
        <x:v>sheet_music</x:v>
      </x:c>
      <x:c r="D60" s="22" t="str">
        <x:v>other_module</x:v>
      </x:c>
      <x:c r="E60" s="22" t="str">
        <x:v>abc song piano sheet</x:v>
      </x:c>
      <x:c r="F60" s="22"/>
      <x:c r="G60" s="22" t="str">
        <x:v>后做</x:v>
      </x:c>
      <x:c r="H60" s="22" t="str">
        <x:v>not_established_by_this_chords_audit</x:v>
      </x:c>
      <x:c r="I60" s="22" t="str">
        <x:v>preserve_original_plan_no_auto_release</x:v>
      </x:c>
    </x:row>
    <x:row r="61" ht="44" customHeight="1">
      <x:c r="A61" s="22" t="str">
        <x:v>U064</x:v>
      </x:c>
      <x:c r="B61" s="22" t="str">
        <x:v>/sheet-music/ode-to-joy</x:v>
      </x:c>
      <x:c r="C61" s="22" t="str">
        <x:v>sheet_music</x:v>
      </x:c>
      <x:c r="D61" s="22" t="str">
        <x:v>other_module</x:v>
      </x:c>
      <x:c r="E61" s="22" t="str">
        <x:v>ode to joy easy piano sheet music</x:v>
      </x:c>
      <x:c r="F61" s="22"/>
      <x:c r="G61" s="22" t="str">
        <x:v>后做</x:v>
      </x:c>
      <x:c r="H61" s="22" t="str">
        <x:v>not_established_by_this_chords_audit</x:v>
      </x:c>
      <x:c r="I61" s="22" t="str">
        <x:v>preserve_original_plan_no_auto_release</x:v>
      </x:c>
    </x:row>
    <x:row r="62" ht="44" customHeight="1">
      <x:c r="A62" s="22" t="str">
        <x:v>U065</x:v>
      </x:c>
      <x:c r="B62" s="22" t="str">
        <x:v>/sheet-music/silent-night</x:v>
      </x:c>
      <x:c r="C62" s="22" t="str">
        <x:v>sheet_music</x:v>
      </x:c>
      <x:c r="D62" s="22" t="str">
        <x:v>other_module</x:v>
      </x:c>
      <x:c r="E62" s="22" t="str">
        <x:v>silent night beginner piano sheet music</x:v>
      </x:c>
      <x:c r="F62" s="22"/>
      <x:c r="G62" s="22" t="str">
        <x:v>后做</x:v>
      </x:c>
      <x:c r="H62" s="22" t="str">
        <x:v>not_established_by_this_chords_audit</x:v>
      </x:c>
      <x:c r="I62" s="22" t="str">
        <x:v>preserve_original_plan_no_auto_release</x:v>
      </x:c>
    </x:row>
    <x:row r="63" ht="44" customHeight="1">
      <x:c r="A63" s="22" t="str">
        <x:v>U066</x:v>
      </x:c>
      <x:c r="B63" s="22" t="str">
        <x:v>/sheet-music/twinkle-twinkle-little-star</x:v>
      </x:c>
      <x:c r="C63" s="22" t="str">
        <x:v>sheet_music</x:v>
      </x:c>
      <x:c r="D63" s="22" t="str">
        <x:v>other_module</x:v>
      </x:c>
      <x:c r="E63" s="22" t="str">
        <x:v>twinkle twinkle little star piano sheet music</x:v>
      </x:c>
      <x:c r="F63" s="22"/>
      <x:c r="G63" s="22" t="str">
        <x:v>后做</x:v>
      </x:c>
      <x:c r="H63" s="22" t="str">
        <x:v>not_established_by_this_chords_audit</x:v>
      </x:c>
      <x:c r="I63" s="22" t="str">
        <x:v>preserve_original_plan_no_auto_release</x:v>
      </x:c>
    </x:row>
    <x:row r="64" ht="44" customHeight="1">
      <x:c r="A64" s="22" t="str">
        <x:v>U070</x:v>
      </x:c>
      <x:c r="B64" s="22" t="str">
        <x:v>/keyboard-notes/frequencies</x:v>
      </x:c>
      <x:c r="C64" s="22" t="str">
        <x:v>keyboard_notes</x:v>
      </x:c>
      <x:c r="D64" s="22" t="str">
        <x:v>other_module</x:v>
      </x:c>
      <x:c r="E64" s="22" t="str">
        <x:v>note frequency chart</x:v>
      </x:c>
      <x:c r="F64" s="22" t="n">
        <x:v>1300</x:v>
      </x:c>
      <x:c r="G64" s="22" t="str">
        <x:v>后做</x:v>
      </x:c>
      <x:c r="H64" s="22" t="str">
        <x:v>not_established_by_this_chords_audit</x:v>
      </x:c>
      <x:c r="I64" s="22" t="str">
        <x:v>preserve_original_plan_no_auto_release</x:v>
      </x:c>
    </x:row>
    <x:row r="65" ht="44" customHeight="1">
      <x:c r="A65" s="22" t="str">
        <x:v>U071</x:v>
      </x:c>
      <x:c r="B65" s="22" t="str">
        <x:v>/keyboard-notes/finger-numbers</x:v>
      </x:c>
      <x:c r="C65" s="22" t="str">
        <x:v>keyboard_notes</x:v>
      </x:c>
      <x:c r="D65" s="22" t="str">
        <x:v>core_chords</x:v>
      </x:c>
      <x:c r="E65" s="22" t="str">
        <x:v>piano fingering chart</x:v>
      </x:c>
      <x:c r="F65" s="22" t="n">
        <x:v>1300</x:v>
      </x:c>
      <x:c r="G65" s="22" t="str">
        <x:v>后做</x:v>
      </x:c>
      <x:c r="H65" s="22" t="str">
        <x:v>user_report_exists</x:v>
      </x:c>
      <x:c r="I65" s="22" t="str">
        <x:v>preserve_and_finish_tasks</x:v>
      </x:c>
    </x:row>
    <x:row r="66" ht="44" customHeight="1">
      <x:c r="A66" s="22" t="str">
        <x:v>U072</x:v>
      </x:c>
      <x:c r="B66" s="22" t="str">
        <x:v>/keyboard-notes/blank</x:v>
      </x:c>
      <x:c r="C66" s="22" t="str">
        <x:v>keyboard_notes</x:v>
      </x:c>
      <x:c r="D66" s="22" t="str">
        <x:v>other_module</x:v>
      </x:c>
      <x:c r="E66" s="22" t="str">
        <x:v>piano keys blank page</x:v>
      </x:c>
      <x:c r="F66" s="22" t="n">
        <x:v>880</x:v>
      </x:c>
      <x:c r="G66" s="22" t="str">
        <x:v>后做</x:v>
      </x:c>
      <x:c r="H66" s="22" t="str">
        <x:v>not_established_by_this_chords_audit</x:v>
      </x:c>
      <x:c r="I66" s="22" t="str">
        <x:v>preserve_original_plan_no_auto_release</x:v>
      </x:c>
    </x:row>
    <x:row r="67" ht="44" customHeight="1">
      <x:c r="A67" s="22" t="str">
        <x:v>U073</x:v>
      </x:c>
      <x:c r="B67" s="22" t="str">
        <x:v>/tools/piano-cheat-sheet</x:v>
      </x:c>
      <x:c r="C67" s="22" t="str">
        <x:v>keyboard_notes</x:v>
      </x:c>
      <x:c r="D67" s="22" t="str">
        <x:v>adjacent_dependency</x:v>
      </x:c>
      <x:c r="E67" s="22" t="str">
        <x:v>piano cheat sheet</x:v>
      </x:c>
      <x:c r="F67" s="22" t="n">
        <x:v>590</x:v>
      </x:c>
      <x:c r="G67" s="22" t="str">
        <x:v>后做</x:v>
      </x:c>
      <x:c r="H67" s="22" t="str">
        <x:v>not_established_by_this_chords_audit</x:v>
      </x:c>
      <x:c r="I67" s="22" t="str">
        <x:v>preserve_original_plan_no_auto_release</x:v>
      </x:c>
    </x:row>
    <x:row r="68" ht="44" customHeight="1">
      <x:c r="A68" s="22" t="str">
        <x:v>U074</x:v>
      </x:c>
      <x:c r="B68" s="22" t="str">
        <x:v>/keyboard-notes/key-signatures</x:v>
      </x:c>
      <x:c r="C68" s="22" t="str">
        <x:v>keyboard_notes</x:v>
      </x:c>
      <x:c r="D68" s="22" t="str">
        <x:v>adjacent_dependency</x:v>
      </x:c>
      <x:c r="E68" s="22" t="str">
        <x:v>piano key signatures</x:v>
      </x:c>
      <x:c r="F68" s="22" t="n">
        <x:v>480</x:v>
      </x:c>
      <x:c r="G68" s="22" t="str">
        <x:v>后做</x:v>
      </x:c>
      <x:c r="H68" s="22" t="str">
        <x:v>not_established_by_this_chords_audit</x:v>
      </x:c>
      <x:c r="I68" s="22" t="str">
        <x:v>preserve_original_plan_no_auto_release</x:v>
      </x:c>
    </x:row>
    <x:row r="69" ht="44" customHeight="1">
      <x:c r="A69" s="22" t="str">
        <x:v>U077</x:v>
      </x:c>
      <x:c r="B69" s="22" t="str">
        <x:v>/chords/b-major</x:v>
      </x:c>
      <x:c r="C69" s="22" t="str">
        <x:v>chords</x:v>
      </x:c>
      <x:c r="D69" s="22" t="str">
        <x:v>core_chords</x:v>
      </x:c>
      <x:c r="E69" s="22" t="str">
        <x:v>b chord piano</x:v>
      </x:c>
      <x:c r="F69" s="22" t="n">
        <x:v>3600</x:v>
      </x:c>
      <x:c r="G69" s="22" t="str">
        <x:v>后做</x:v>
      </x:c>
      <x:c r="H69" s="22" t="str">
        <x:v>user_report_exists</x:v>
      </x:c>
      <x:c r="I69" s="22" t="str">
        <x:v>preserve_and_finish_tasks</x:v>
      </x:c>
    </x:row>
    <x:row r="70" ht="44" customHeight="1">
      <x:c r="A70" s="22" t="str">
        <x:v>U079</x:v>
      </x:c>
      <x:c r="B70" s="22" t="str">
        <x:v>/chords/a-flat-major</x:v>
      </x:c>
      <x:c r="C70" s="22" t="str">
        <x:v>chords</x:v>
      </x:c>
      <x:c r="D70" s="22" t="str">
        <x:v>core_chords</x:v>
      </x:c>
      <x:c r="E70" s="22" t="str">
        <x:v>a flat chord piano</x:v>
      </x:c>
      <x:c r="F70" s="22" t="n">
        <x:v>1000</x:v>
      </x:c>
      <x:c r="G70" s="22" t="str">
        <x:v>后做</x:v>
      </x:c>
      <x:c r="H70" s="22" t="str">
        <x:v>user_report_exists</x:v>
      </x:c>
      <x:c r="I70" s="22" t="str">
        <x:v>preserve_and_finish_tasks</x:v>
      </x:c>
    </x:row>
    <x:row r="71" ht="44" customHeight="1">
      <x:c r="A71" s="22" t="str">
        <x:v>U080</x:v>
      </x:c>
      <x:c r="B71" s="22" t="str">
        <x:v>/chords/e-major</x:v>
      </x:c>
      <x:c r="C71" s="22" t="str">
        <x:v>chords</x:v>
      </x:c>
      <x:c r="D71" s="22" t="str">
        <x:v>core_chords</x:v>
      </x:c>
      <x:c r="E71" s="22" t="str">
        <x:v>piano e chord</x:v>
      </x:c>
      <x:c r="F71" s="22" t="n">
        <x:v>590</x:v>
      </x:c>
      <x:c r="G71" s="22" t="str">
        <x:v>后做</x:v>
      </x:c>
      <x:c r="H71" s="22" t="str">
        <x:v>user_report_exists</x:v>
      </x:c>
      <x:c r="I71" s="22" t="str">
        <x:v>preserve_and_finish_tasks</x:v>
      </x:c>
    </x:row>
    <x:row r="72" ht="44" customHeight="1">
      <x:c r="A72" s="22" t="str">
        <x:v>U082</x:v>
      </x:c>
      <x:c r="B72" s="22" t="str">
        <x:v>/chords/c-minor</x:v>
      </x:c>
      <x:c r="C72" s="22" t="str">
        <x:v>chords</x:v>
      </x:c>
      <x:c r="D72" s="22" t="str">
        <x:v>core_chords</x:v>
      </x:c>
      <x:c r="E72" s="22" t="str">
        <x:v>c minor in piano</x:v>
      </x:c>
      <x:c r="F72" s="22" t="n">
        <x:v>260</x:v>
      </x:c>
      <x:c r="G72" s="22" t="str">
        <x:v>后做</x:v>
      </x:c>
      <x:c r="H72" s="22" t="str">
        <x:v>user_report_exists</x:v>
      </x:c>
      <x:c r="I72" s="22" t="str">
        <x:v>preserve_and_finish_tasks</x:v>
      </x:c>
    </x:row>
    <x:row r="73" ht="44" customHeight="1">
      <x:c r="A73" s="22" t="str">
        <x:v>U083</x:v>
      </x:c>
      <x:c r="B73" s="22" t="str">
        <x:v>/chords/c-flat-major</x:v>
      </x:c>
      <x:c r="C73" s="22" t="str">
        <x:v>chords</x:v>
      </x:c>
      <x:c r="D73" s="22" t="str">
        <x:v>core_chords</x:v>
      </x:c>
      <x:c r="E73" s="22" t="str">
        <x:v>cb piano chord</x:v>
      </x:c>
      <x:c r="F73" s="22" t="n">
        <x:v>260</x:v>
      </x:c>
      <x:c r="G73" s="22" t="str">
        <x:v>后做</x:v>
      </x:c>
      <x:c r="H73" s="22" t="str">
        <x:v>user_report_exists</x:v>
      </x:c>
      <x:c r="I73" s="22" t="str">
        <x:v>preserve_and_finish_tasks</x:v>
      </x:c>
    </x:row>
    <x:row r="74" ht="44" customHeight="1">
      <x:c r="A74" s="22" t="str">
        <x:v>U084</x:v>
      </x:c>
      <x:c r="B74" s="22" t="str">
        <x:v>/chords/g-major</x:v>
      </x:c>
      <x:c r="C74" s="22" t="str">
        <x:v>chords</x:v>
      </x:c>
      <x:c r="D74" s="22" t="str">
        <x:v>core_chords</x:v>
      </x:c>
      <x:c r="E74" s="22" t="str">
        <x:v>g chord piano</x:v>
      </x:c>
      <x:c r="F74" s="22"/>
      <x:c r="G74" s="22" t="str">
        <x:v>后做</x:v>
      </x:c>
      <x:c r="H74" s="22" t="str">
        <x:v>user_report_exists</x:v>
      </x:c>
      <x:c r="I74" s="22" t="str">
        <x:v>preserve_and_finish_tasks</x:v>
      </x:c>
    </x:row>
    <x:row r="75" ht="44" customHeight="1">
      <x:c r="A75" s="22" t="str">
        <x:v>U085</x:v>
      </x:c>
      <x:c r="B75" s="22" t="str">
        <x:v>/chords/by-key</x:v>
      </x:c>
      <x:c r="C75" s="22" t="str">
        <x:v>chords</x:v>
      </x:c>
      <x:c r="D75" s="22" t="str">
        <x:v>core_chords</x:v>
      </x:c>
      <x:c r="E75" s="22" t="str">
        <x:v>chords of key</x:v>
      </x:c>
      <x:c r="F75" s="22" t="n">
        <x:v>1900</x:v>
      </x:c>
      <x:c r="G75" s="22" t="str">
        <x:v>后做</x:v>
      </x:c>
      <x:c r="H75" s="22" t="str">
        <x:v>user_report_exists</x:v>
      </x:c>
      <x:c r="I75" s="22" t="str">
        <x:v>preserve_and_finish_tasks</x:v>
      </x:c>
    </x:row>
    <x:row r="76" ht="44" customHeight="1">
      <x:c r="A76" s="22" t="str">
        <x:v>U086</x:v>
      </x:c>
      <x:c r="B76" s="22" t="str">
        <x:v>/chords/finder</x:v>
      </x:c>
      <x:c r="C76" s="22" t="str">
        <x:v>chords</x:v>
      </x:c>
      <x:c r="D76" s="22" t="str">
        <x:v>core_chords</x:v>
      </x:c>
      <x:c r="E76" s="22" t="str">
        <x:v>chord finder piano</x:v>
      </x:c>
      <x:c r="F76" s="22" t="n">
        <x:v>1300</x:v>
      </x:c>
      <x:c r="G76" s="22" t="str">
        <x:v>后做</x:v>
      </x:c>
      <x:c r="H76" s="22" t="str">
        <x:v>user_report_exists</x:v>
      </x:c>
      <x:c r="I76" s="22" t="str">
        <x:v>preserve_and_finish_tasks</x:v>
      </x:c>
    </x:row>
    <x:row r="77" ht="44" customHeight="1">
      <x:c r="A77" s="22" t="str">
        <x:v>U087</x:v>
      </x:c>
      <x:c r="B77" s="22" t="str">
        <x:v>/chord-progressions</x:v>
      </x:c>
      <x:c r="C77" s="22" t="str">
        <x:v>chord_progressions</x:v>
      </x:c>
      <x:c r="D77" s="22" t="str">
        <x:v>core_chords</x:v>
      </x:c>
      <x:c r="E77" s="22" t="str">
        <x:v>piano chord progressions</x:v>
      </x:c>
      <x:c r="F77" s="22" t="n">
        <x:v>1600</x:v>
      </x:c>
      <x:c r="G77" s="22" t="str">
        <x:v>后做</x:v>
      </x:c>
      <x:c r="H77" s="22" t="str">
        <x:v>user_report_exists</x:v>
      </x:c>
      <x:c r="I77" s="22" t="str">
        <x:v>preserve_and_finish_tasks</x:v>
      </x:c>
    </x:row>
    <x:row r="78" ht="44" customHeight="1">
      <x:c r="A78" s="22" t="str">
        <x:v>U089</x:v>
      </x:c>
      <x:c r="B78" s="22" t="str">
        <x:v>/scales/modes</x:v>
      </x:c>
      <x:c r="C78" s="22" t="str">
        <x:v>scales</x:v>
      </x:c>
      <x:c r="D78" s="22" t="str">
        <x:v>other_module</x:v>
      </x:c>
      <x:c r="E78" s="22" t="str">
        <x:v>scale modes</x:v>
      </x:c>
      <x:c r="F78" s="22" t="n">
        <x:v>1600</x:v>
      </x:c>
      <x:c r="G78" s="22" t="str">
        <x:v>后做</x:v>
      </x:c>
      <x:c r="H78" s="22" t="str">
        <x:v>not_established_by_this_chords_audit</x:v>
      </x:c>
      <x:c r="I78" s="22" t="str">
        <x:v>preserve_original_plan_no_auto_release</x:v>
      </x:c>
    </x:row>
    <x:row r="79" ht="44" customHeight="1">
      <x:c r="A79" s="22" t="str">
        <x:v>U092</x:v>
      </x:c>
      <x:c r="B79" s="22" t="str">
        <x:v>/scales/blues</x:v>
      </x:c>
      <x:c r="C79" s="22" t="str">
        <x:v>scales</x:v>
      </x:c>
      <x:c r="D79" s="22" t="str">
        <x:v>other_module</x:v>
      </x:c>
      <x:c r="E79" s="22" t="str">
        <x:v>blues scale piano</x:v>
      </x:c>
      <x:c r="F79" s="22" t="n">
        <x:v>1000</x:v>
      </x:c>
      <x:c r="G79" s="22" t="str">
        <x:v>后做</x:v>
      </x:c>
      <x:c r="H79" s="22" t="str">
        <x:v>not_established_by_this_chords_audit</x:v>
      </x:c>
      <x:c r="I79" s="22" t="str">
        <x:v>preserve_original_plan_no_auto_release</x:v>
      </x:c>
    </x:row>
    <x:row r="80" ht="44" customHeight="1">
      <x:c r="A80" s="22" t="str">
        <x:v>U093</x:v>
      </x:c>
      <x:c r="B80" s="22" t="str">
        <x:v>/scales/d-major</x:v>
      </x:c>
      <x:c r="C80" s="22" t="str">
        <x:v>scales</x:v>
      </x:c>
      <x:c r="D80" s="22" t="str">
        <x:v>other_module</x:v>
      </x:c>
      <x:c r="E80" s="22" t="str">
        <x:v>d major scale piano</x:v>
      </x:c>
      <x:c r="F80" s="22" t="n">
        <x:v>1000</x:v>
      </x:c>
      <x:c r="G80" s="22" t="str">
        <x:v>后做</x:v>
      </x:c>
      <x:c r="H80" s="22" t="str">
        <x:v>not_established_by_this_chords_audit</x:v>
      </x:c>
      <x:c r="I80" s="22" t="str">
        <x:v>preserve_original_plan_no_auto_release</x:v>
      </x:c>
    </x:row>
    <x:row r="81" ht="44" customHeight="1">
      <x:c r="A81" s="22" t="str">
        <x:v>U094</x:v>
      </x:c>
      <x:c r="B81" s="22" t="str">
        <x:v>/scales/e-minor</x:v>
      </x:c>
      <x:c r="C81" s="22" t="str">
        <x:v>scales</x:v>
      </x:c>
      <x:c r="D81" s="22" t="str">
        <x:v>other_module</x:v>
      </x:c>
      <x:c r="E81" s="22" t="str">
        <x:v>e minor scale piano</x:v>
      </x:c>
      <x:c r="F81" s="22" t="n">
        <x:v>1000</x:v>
      </x:c>
      <x:c r="G81" s="22" t="str">
        <x:v>后做</x:v>
      </x:c>
      <x:c r="H81" s="22" t="str">
        <x:v>not_established_by_this_chords_audit</x:v>
      </x:c>
      <x:c r="I81" s="22" t="str">
        <x:v>preserve_original_plan_no_auto_release</x:v>
      </x:c>
    </x:row>
    <x:row r="82" ht="44" customHeight="1">
      <x:c r="A82" s="22" t="str">
        <x:v>U095</x:v>
      </x:c>
      <x:c r="B82" s="22" t="str">
        <x:v>/scales/f-major</x:v>
      </x:c>
      <x:c r="C82" s="22" t="str">
        <x:v>scales</x:v>
      </x:c>
      <x:c r="D82" s="22" t="str">
        <x:v>other_module</x:v>
      </x:c>
      <x:c r="E82" s="22" t="str">
        <x:v>f major scale for piano</x:v>
      </x:c>
      <x:c r="F82" s="22" t="n">
        <x:v>1000</x:v>
      </x:c>
      <x:c r="G82" s="22" t="str">
        <x:v>后做</x:v>
      </x:c>
      <x:c r="H82" s="22" t="str">
        <x:v>not_established_by_this_chords_audit</x:v>
      </x:c>
      <x:c r="I82" s="22" t="str">
        <x:v>preserve_original_plan_no_auto_release</x:v>
      </x:c>
    </x:row>
    <x:row r="83" ht="44" customHeight="1">
      <x:c r="A83" s="22" t="str">
        <x:v>U096</x:v>
      </x:c>
      <x:c r="B83" s="22" t="str">
        <x:v>/scales/g-major</x:v>
      </x:c>
      <x:c r="C83" s="22" t="str">
        <x:v>scales</x:v>
      </x:c>
      <x:c r="D83" s="22" t="str">
        <x:v>other_module</x:v>
      </x:c>
      <x:c r="E83" s="22" t="str">
        <x:v>g major scale piano</x:v>
      </x:c>
      <x:c r="F83" s="22" t="n">
        <x:v>1000</x:v>
      </x:c>
      <x:c r="G83" s="22" t="str">
        <x:v>后做</x:v>
      </x:c>
      <x:c r="H83" s="22" t="str">
        <x:v>not_established_by_this_chords_audit</x:v>
      </x:c>
      <x:c r="I83" s="22" t="str">
        <x:v>preserve_original_plan_no_auto_release</x:v>
      </x:c>
    </x:row>
    <x:row r="84" ht="44" customHeight="1">
      <x:c r="A84" s="22" t="str">
        <x:v>U097</x:v>
      </x:c>
      <x:c r="B84" s="22" t="str">
        <x:v>/scales/pentatonic</x:v>
      </x:c>
      <x:c r="C84" s="22" t="str">
        <x:v>scales</x:v>
      </x:c>
      <x:c r="D84" s="22" t="str">
        <x:v>other_module</x:v>
      </x:c>
      <x:c r="E84" s="22" t="str">
        <x:v>pentatonic scale piano</x:v>
      </x:c>
      <x:c r="F84" s="22" t="n">
        <x:v>1000</x:v>
      </x:c>
      <x:c r="G84" s="22" t="str">
        <x:v>后做</x:v>
      </x:c>
      <x:c r="H84" s="22" t="str">
        <x:v>not_established_by_this_chords_audit</x:v>
      </x:c>
      <x:c r="I84" s="22" t="str">
        <x:v>preserve_original_plan_no_auto_release</x:v>
      </x:c>
    </x:row>
    <x:row r="85" ht="44" customHeight="1">
      <x:c r="A85" s="22" t="str">
        <x:v>U098</x:v>
      </x:c>
      <x:c r="B85" s="22" t="str">
        <x:v>/scales/a-major</x:v>
      </x:c>
      <x:c r="C85" s="22" t="str">
        <x:v>scales</x:v>
      </x:c>
      <x:c r="D85" s="22" t="str">
        <x:v>other_module</x:v>
      </x:c>
      <x:c r="E85" s="22" t="str">
        <x:v>a major scale for piano</x:v>
      </x:c>
      <x:c r="F85" s="22" t="n">
        <x:v>880</x:v>
      </x:c>
      <x:c r="G85" s="22" t="str">
        <x:v>后做</x:v>
      </x:c>
      <x:c r="H85" s="22" t="str">
        <x:v>not_established_by_this_chords_audit</x:v>
      </x:c>
      <x:c r="I85" s="22" t="str">
        <x:v>preserve_original_plan_no_auto_release</x:v>
      </x:c>
    </x:row>
    <x:row r="86" ht="44" customHeight="1">
      <x:c r="A86" s="22" t="str">
        <x:v>U099</x:v>
      </x:c>
      <x:c r="B86" s="22" t="str">
        <x:v>/scales/c-minor</x:v>
      </x:c>
      <x:c r="C86" s="22" t="str">
        <x:v>scales</x:v>
      </x:c>
      <x:c r="D86" s="22" t="str">
        <x:v>other_module</x:v>
      </x:c>
      <x:c r="E86" s="22" t="str">
        <x:v>c minor scale piano</x:v>
      </x:c>
      <x:c r="F86" s="22" t="n">
        <x:v>880</x:v>
      </x:c>
      <x:c r="G86" s="22" t="str">
        <x:v>后做</x:v>
      </x:c>
      <x:c r="H86" s="22" t="str">
        <x:v>not_established_by_this_chords_audit</x:v>
      </x:c>
      <x:c r="I86" s="22" t="str">
        <x:v>preserve_original_plan_no_auto_release</x:v>
      </x:c>
    </x:row>
    <x:row r="87" ht="44" customHeight="1">
      <x:c r="A87" s="22" t="str">
        <x:v>U100</x:v>
      </x:c>
      <x:c r="B87" s="22" t="str">
        <x:v>/scales/d-minor</x:v>
      </x:c>
      <x:c r="C87" s="22" t="str">
        <x:v>scales</x:v>
      </x:c>
      <x:c r="D87" s="22" t="str">
        <x:v>other_module</x:v>
      </x:c>
      <x:c r="E87" s="22" t="str">
        <x:v>d minor scale piano</x:v>
      </x:c>
      <x:c r="F87" s="22" t="n">
        <x:v>880</x:v>
      </x:c>
      <x:c r="G87" s="22" t="str">
        <x:v>后做</x:v>
      </x:c>
      <x:c r="H87" s="22" t="str">
        <x:v>not_established_by_this_chords_audit</x:v>
      </x:c>
      <x:c r="I87" s="22" t="str">
        <x:v>preserve_original_plan_no_auto_release</x:v>
      </x:c>
    </x:row>
    <x:row r="88" ht="44" customHeight="1">
      <x:c r="A88" s="22" t="str">
        <x:v>U101</x:v>
      </x:c>
      <x:c r="B88" s="22" t="str">
        <x:v>/scales/e-major</x:v>
      </x:c>
      <x:c r="C88" s="22" t="str">
        <x:v>scales</x:v>
      </x:c>
      <x:c r="D88" s="22" t="str">
        <x:v>other_module</x:v>
      </x:c>
      <x:c r="E88" s="22" t="str">
        <x:v>e major scale piano</x:v>
      </x:c>
      <x:c r="F88" s="22" t="n">
        <x:v>880</x:v>
      </x:c>
      <x:c r="G88" s="22" t="str">
        <x:v>后做</x:v>
      </x:c>
      <x:c r="H88" s="22" t="str">
        <x:v>not_established_by_this_chords_audit</x:v>
      </x:c>
      <x:c r="I88" s="22" t="str">
        <x:v>preserve_original_plan_no_auto_release</x:v>
      </x:c>
    </x:row>
    <x:row r="89" ht="44" customHeight="1">
      <x:c r="A89" s="22" t="str">
        <x:v>U102</x:v>
      </x:c>
      <x:c r="B89" s="22" t="str">
        <x:v>/scales/b-minor</x:v>
      </x:c>
      <x:c r="C89" s="22" t="str">
        <x:v>scales</x:v>
      </x:c>
      <x:c r="D89" s="22" t="str">
        <x:v>other_module</x:v>
      </x:c>
      <x:c r="E89" s="22" t="str">
        <x:v>b minor scale piano</x:v>
      </x:c>
      <x:c r="F89" s="22" t="n">
        <x:v>720</x:v>
      </x:c>
      <x:c r="G89" s="22" t="str">
        <x:v>后做</x:v>
      </x:c>
      <x:c r="H89" s="22" t="str">
        <x:v>not_established_by_this_chords_audit</x:v>
      </x:c>
      <x:c r="I89" s="22" t="str">
        <x:v>preserve_original_plan_no_auto_release</x:v>
      </x:c>
    </x:row>
    <x:row r="90" ht="44" customHeight="1">
      <x:c r="A90" s="22" t="str">
        <x:v>U103</x:v>
      </x:c>
      <x:c r="B90" s="22" t="str">
        <x:v>/scales/f-minor</x:v>
      </x:c>
      <x:c r="C90" s="22" t="str">
        <x:v>scales</x:v>
      </x:c>
      <x:c r="D90" s="22" t="str">
        <x:v>other_module</x:v>
      </x:c>
      <x:c r="E90" s="22" t="str">
        <x:v>f minor scale piano</x:v>
      </x:c>
      <x:c r="F90" s="22" t="n">
        <x:v>720</x:v>
      </x:c>
      <x:c r="G90" s="22" t="str">
        <x:v>后做</x:v>
      </x:c>
      <x:c r="H90" s="22" t="str">
        <x:v>not_established_by_this_chords_audit</x:v>
      </x:c>
      <x:c r="I90" s="22" t="str">
        <x:v>preserve_original_plan_no_auto_release</x:v>
      </x:c>
    </x:row>
    <x:row r="91" ht="44" customHeight="1">
      <x:c r="A91" s="22" t="str">
        <x:v>U104</x:v>
      </x:c>
      <x:c r="B91" s="22" t="str">
        <x:v>/scales/harmonic-major</x:v>
      </x:c>
      <x:c r="C91" s="22" t="str">
        <x:v>scales</x:v>
      </x:c>
      <x:c r="D91" s="22" t="str">
        <x:v>other_module</x:v>
      </x:c>
      <x:c r="E91" s="22" t="str">
        <x:v>harmonic major scale</x:v>
      </x:c>
      <x:c r="F91" s="22" t="n">
        <x:v>720</x:v>
      </x:c>
      <x:c r="G91" s="22" t="str">
        <x:v>后做</x:v>
      </x:c>
      <x:c r="H91" s="22" t="str">
        <x:v>not_established_by_this_chords_audit</x:v>
      </x:c>
      <x:c r="I91" s="22" t="str">
        <x:v>preserve_original_plan_no_auto_release</x:v>
      </x:c>
    </x:row>
    <x:row r="92" ht="44" customHeight="1">
      <x:c r="A92" s="22" t="str">
        <x:v>U105</x:v>
      </x:c>
      <x:c r="B92" s="22" t="str">
        <x:v>/scales/a-sharp-minor</x:v>
      </x:c>
      <x:c r="C92" s="22" t="str">
        <x:v>scales</x:v>
      </x:c>
      <x:c r="D92" s="22" t="str">
        <x:v>other_module</x:v>
      </x:c>
      <x:c r="E92" s="22" t="str">
        <x:v>a# minor scale</x:v>
      </x:c>
      <x:c r="F92" s="22" t="n">
        <x:v>590</x:v>
      </x:c>
      <x:c r="G92" s="22" t="str">
        <x:v>后做</x:v>
      </x:c>
      <x:c r="H92" s="22" t="str">
        <x:v>not_established_by_this_chords_audit</x:v>
      </x:c>
      <x:c r="I92" s="22" t="str">
        <x:v>preserve_original_plan_no_auto_release</x:v>
      </x:c>
    </x:row>
    <x:row r="93" ht="44" customHeight="1">
      <x:c r="A93" s="22" t="str">
        <x:v>U106</x:v>
      </x:c>
      <x:c r="B93" s="22" t="str">
        <x:v>/scales/b-major</x:v>
      </x:c>
      <x:c r="C93" s="22" t="str">
        <x:v>scales</x:v>
      </x:c>
      <x:c r="D93" s="22" t="str">
        <x:v>other_module</x:v>
      </x:c>
      <x:c r="E93" s="22" t="str">
        <x:v>b major scale piano</x:v>
      </x:c>
      <x:c r="F93" s="22" t="n">
        <x:v>590</x:v>
      </x:c>
      <x:c r="G93" s="22" t="str">
        <x:v>后做</x:v>
      </x:c>
      <x:c r="H93" s="22" t="str">
        <x:v>not_established_by_this_chords_audit</x:v>
      </x:c>
      <x:c r="I93" s="22" t="str">
        <x:v>preserve_original_plan_no_auto_release</x:v>
      </x:c>
    </x:row>
    <x:row r="94" ht="44" customHeight="1">
      <x:c r="A94" s="22" t="str">
        <x:v>U107</x:v>
      </x:c>
      <x:c r="B94" s="22" t="str">
        <x:v>/scales/b-flat-major</x:v>
      </x:c>
      <x:c r="C94" s="22" t="str">
        <x:v>scales</x:v>
      </x:c>
      <x:c r="D94" s="22" t="str">
        <x:v>other_module</x:v>
      </x:c>
      <x:c r="E94" s="22" t="str">
        <x:v>b flat major scale piano</x:v>
      </x:c>
      <x:c r="F94" s="22" t="n">
        <x:v>480</x:v>
      </x:c>
      <x:c r="G94" s="22" t="str">
        <x:v>后做</x:v>
      </x:c>
      <x:c r="H94" s="22" t="str">
        <x:v>not_established_by_this_chords_audit</x:v>
      </x:c>
      <x:c r="I94" s="22" t="str">
        <x:v>preserve_original_plan_no_auto_release</x:v>
      </x:c>
    </x:row>
    <x:row r="95" ht="44" customHeight="1">
      <x:c r="A95" s="22" t="str">
        <x:v>U108</x:v>
      </x:c>
      <x:c r="B95" s="22" t="str">
        <x:v>/scales/g-minor</x:v>
      </x:c>
      <x:c r="C95" s="22" t="str">
        <x:v>scales</x:v>
      </x:c>
      <x:c r="D95" s="22" t="str">
        <x:v>other_module</x:v>
      </x:c>
      <x:c r="E95" s="22" t="str">
        <x:v>g minor scale piano</x:v>
      </x:c>
      <x:c r="F95" s="22" t="n">
        <x:v>480</x:v>
      </x:c>
      <x:c r="G95" s="22" t="str">
        <x:v>后做</x:v>
      </x:c>
      <x:c r="H95" s="22" t="str">
        <x:v>not_established_by_this_chords_audit</x:v>
      </x:c>
      <x:c r="I95" s="22" t="str">
        <x:v>preserve_original_plan_no_auto_release</x:v>
      </x:c>
    </x:row>
    <x:row r="96" ht="44" customHeight="1">
      <x:c r="A96" s="22" t="str">
        <x:v>U109</x:v>
      </x:c>
      <x:c r="B96" s="22" t="str">
        <x:v>/scales/chromatic</x:v>
      </x:c>
      <x:c r="C96" s="22" t="str">
        <x:v>scales</x:v>
      </x:c>
      <x:c r="D96" s="22" t="str">
        <x:v>other_module</x:v>
      </x:c>
      <x:c r="E96" s="22" t="str">
        <x:v>chromatic scale piano</x:v>
      </x:c>
      <x:c r="F96" s="22" t="n">
        <x:v>390</x:v>
      </x:c>
      <x:c r="G96" s="22" t="str">
        <x:v>后做</x:v>
      </x:c>
      <x:c r="H96" s="22" t="str">
        <x:v>not_established_by_this_chords_audit</x:v>
      </x:c>
      <x:c r="I96" s="22" t="str">
        <x:v>preserve_original_plan_no_auto_release</x:v>
      </x:c>
    </x:row>
    <x:row r="97" ht="44" customHeight="1">
      <x:c r="A97" s="22" t="str">
        <x:v>U110</x:v>
      </x:c>
      <x:c r="B97" s="22" t="str">
        <x:v>/scales/e-flat-major</x:v>
      </x:c>
      <x:c r="C97" s="22" t="str">
        <x:v>scales</x:v>
      </x:c>
      <x:c r="D97" s="22" t="str">
        <x:v>other_module</x:v>
      </x:c>
      <x:c r="E97" s="22" t="str">
        <x:v>e flat major scale piano</x:v>
      </x:c>
      <x:c r="F97" s="22" t="n">
        <x:v>390</x:v>
      </x:c>
      <x:c r="G97" s="22" t="str">
        <x:v>后做</x:v>
      </x:c>
      <x:c r="H97" s="22" t="str">
        <x:v>not_established_by_this_chords_audit</x:v>
      </x:c>
      <x:c r="I97" s="22" t="str">
        <x:v>preserve_original_plan_no_auto_release</x:v>
      </x:c>
    </x:row>
    <x:row r="98" ht="44" customHeight="1">
      <x:c r="A98" s="22" t="str">
        <x:v>U111</x:v>
      </x:c>
      <x:c r="B98" s="22" t="str">
        <x:v>/scales/f-sharp-minor</x:v>
      </x:c>
      <x:c r="C98" s="22" t="str">
        <x:v>scales</x:v>
      </x:c>
      <x:c r="D98" s="22" t="str">
        <x:v>other_module</x:v>
      </x:c>
      <x:c r="E98" s="22" t="str">
        <x:v>f#m piano scale</x:v>
      </x:c>
      <x:c r="F98" s="22" t="n">
        <x:v>390</x:v>
      </x:c>
      <x:c r="G98" s="22" t="str">
        <x:v>后做</x:v>
      </x:c>
      <x:c r="H98" s="22" t="str">
        <x:v>not_established_by_this_chords_audit</x:v>
      </x:c>
      <x:c r="I98" s="22" t="str">
        <x:v>preserve_original_plan_no_auto_release</x:v>
      </x:c>
    </x:row>
    <x:row r="99" ht="44" customHeight="1">
      <x:c r="A99" s="22" t="str">
        <x:v>U112</x:v>
      </x:c>
      <x:c r="B99" s="22" t="str">
        <x:v>/scales/c-flat-major</x:v>
      </x:c>
      <x:c r="C99" s="22" t="str">
        <x:v>scales</x:v>
      </x:c>
      <x:c r="D99" s="22" t="str">
        <x:v>other_module</x:v>
      </x:c>
      <x:c r="E99" s="22" t="str">
        <x:v>cb major scale piano</x:v>
      </x:c>
      <x:c r="F99" s="22" t="n">
        <x:v>320</x:v>
      </x:c>
      <x:c r="G99" s="22" t="str">
        <x:v>后做</x:v>
      </x:c>
      <x:c r="H99" s="22" t="str">
        <x:v>not_established_by_this_chords_audit</x:v>
      </x:c>
      <x:c r="I99" s="22" t="str">
        <x:v>preserve_original_plan_no_auto_release</x:v>
      </x:c>
    </x:row>
    <x:row r="100" ht="44" customHeight="1">
      <x:c r="A100" s="22" t="str">
        <x:v>U113</x:v>
      </x:c>
      <x:c r="B100" s="22" t="str">
        <x:v>/arpeggios</x:v>
      </x:c>
      <x:c r="C100" s="22" t="str">
        <x:v>arpeggios</x:v>
      </x:c>
      <x:c r="D100" s="22" t="str">
        <x:v>adjacent_dependency</x:v>
      </x:c>
      <x:c r="E100" s="22" t="str">
        <x:v>arpeggios piano</x:v>
      </x:c>
      <x:c r="F100" s="22"/>
      <x:c r="G100" s="22" t="str">
        <x:v>后做</x:v>
      </x:c>
      <x:c r="H100" s="22" t="str">
        <x:v>not_established_by_this_chords_audit</x:v>
      </x:c>
      <x:c r="I100" s="22" t="str">
        <x:v>preserve_original_plan_no_auto_release</x:v>
      </x:c>
    </x:row>
    <x:row r="101" ht="44" customHeight="1">
      <x:c r="A101" s="22" t="str">
        <x:v>U116</x:v>
      </x:c>
      <x:c r="B101" s="22" t="str">
        <x:v>/guide/sight-reading</x:v>
      </x:c>
      <x:c r="C101" s="22" t="str">
        <x:v>guide</x:v>
      </x:c>
      <x:c r="D101" s="22" t="str">
        <x:v>other_module</x:v>
      </x:c>
      <x:c r="E101" s="22" t="str">
        <x:v>sight reading piano tips for improvement</x:v>
      </x:c>
      <x:c r="F101" s="22" t="n">
        <x:v>12100</x:v>
      </x:c>
      <x:c r="G101" s="22" t="str">
        <x:v>后做</x:v>
      </x:c>
      <x:c r="H101" s="22" t="str">
        <x:v>not_established_by_this_chords_audit</x:v>
      </x:c>
      <x:c r="I101" s="22" t="str">
        <x:v>preserve_original_plan_no_auto_release</x:v>
      </x:c>
    </x:row>
    <x:row r="102" ht="44" customHeight="1">
      <x:c r="A102" s="22" t="str">
        <x:v>U117</x:v>
      </x:c>
      <x:c r="B102" s="22" t="str">
        <x:v>/guide/piano-chords</x:v>
      </x:c>
      <x:c r="C102" s="22" t="str">
        <x:v>guide</x:v>
      </x:c>
      <x:c r="D102" s="22" t="str">
        <x:v>core_chords</x:v>
      </x:c>
      <x:c r="E102" s="22" t="str">
        <x:v>how to play chords on piano</x:v>
      </x:c>
      <x:c r="F102" s="22" t="n">
        <x:v>1900</x:v>
      </x:c>
      <x:c r="G102" s="22" t="str">
        <x:v>后做</x:v>
      </x:c>
      <x:c r="H102" s="22" t="str">
        <x:v>user_report_exists</x:v>
      </x:c>
      <x:c r="I102" s="22" t="str">
        <x:v>preserve_and_finish_tasks</x:v>
      </x:c>
    </x:row>
    <x:row r="103" ht="44" customHeight="1">
      <x:c r="A103" s="22" t="str">
        <x:v>U118</x:v>
      </x:c>
      <x:c r="B103" s="22" t="str">
        <x:v>/guide/piano-books</x:v>
      </x:c>
      <x:c r="C103" s="22" t="str">
        <x:v>guide</x:v>
      </x:c>
      <x:c r="D103" s="22" t="str">
        <x:v>other_module</x:v>
      </x:c>
      <x:c r="E103" s="22" t="str">
        <x:v>piano books for beginners</x:v>
      </x:c>
      <x:c r="F103" s="22" t="n">
        <x:v>1900</x:v>
      </x:c>
      <x:c r="G103" s="22" t="str">
        <x:v>后做</x:v>
      </x:c>
      <x:c r="H103" s="22" t="str">
        <x:v>not_established_by_this_chords_audit</x:v>
      </x:c>
      <x:c r="I103" s="22" t="str">
        <x:v>preserve_original_plan_no_auto_release</x:v>
      </x:c>
    </x:row>
    <x:row r="104" ht="44" customHeight="1">
      <x:c r="A104" s="22" t="str">
        <x:v>U119</x:v>
      </x:c>
      <x:c r="B104" s="22" t="str">
        <x:v>/guide/learn-a-piano-song</x:v>
      </x:c>
      <x:c r="C104" s="22" t="str">
        <x:v>guide</x:v>
      </x:c>
      <x:c r="D104" s="22" t="str">
        <x:v>adjacent_dependency</x:v>
      </x:c>
      <x:c r="E104" s="22" t="str">
        <x:v>how to play piano songs</x:v>
      </x:c>
      <x:c r="F104" s="22" t="n">
        <x:v>880</x:v>
      </x:c>
      <x:c r="G104" s="22" t="str">
        <x:v>后做</x:v>
      </x:c>
      <x:c r="H104" s="22" t="str">
        <x:v>not_established_by_this_chords_audit</x:v>
      </x:c>
      <x:c r="I104" s="22" t="str">
        <x:v>preserve_original_plan_no_auto_release</x:v>
      </x:c>
    </x:row>
    <x:row r="105" ht="44" customHeight="1">
      <x:c r="A105" s="22" t="str">
        <x:v>U120</x:v>
      </x:c>
      <x:c r="B105" s="22" t="str">
        <x:v>/guide/piano-scales</x:v>
      </x:c>
      <x:c r="C105" s="22" t="str">
        <x:v>guide</x:v>
      </x:c>
      <x:c r="D105" s="22" t="str">
        <x:v>other_module</x:v>
      </x:c>
      <x:c r="E105" s="22" t="str">
        <x:v>piano scales for beginners</x:v>
      </x:c>
      <x:c r="F105" s="22" t="n">
        <x:v>880</x:v>
      </x:c>
      <x:c r="G105" s="22" t="str">
        <x:v>后做</x:v>
      </x:c>
      <x:c r="H105" s="22" t="str">
        <x:v>not_established_by_this_chords_audit</x:v>
      </x:c>
      <x:c r="I105" s="22" t="str">
        <x:v>preserve_original_plan_no_auto_release</x:v>
      </x:c>
    </x:row>
    <x:row r="106" ht="44" customHeight="1">
      <x:c r="A106" s="22" t="str">
        <x:v>U121</x:v>
      </x:c>
      <x:c r="B106" s="22" t="str">
        <x:v>/guide/compose-a-piano-song</x:v>
      </x:c>
      <x:c r="C106" s="22" t="str">
        <x:v>guide</x:v>
      </x:c>
      <x:c r="D106" s="22" t="str">
        <x:v>other_module</x:v>
      </x:c>
      <x:c r="E106" s="22" t="str">
        <x:v>make a piano song</x:v>
      </x:c>
      <x:c r="F106" s="22" t="n">
        <x:v>320</x:v>
      </x:c>
      <x:c r="G106" s="22" t="str">
        <x:v>后做</x:v>
      </x:c>
      <x:c r="H106" s="22" t="str">
        <x:v>not_established_by_this_chords_audit</x:v>
      </x:c>
      <x:c r="I106" s="22" t="str">
        <x:v>preserve_original_plan_no_auto_release</x:v>
      </x:c>
    </x:row>
    <x:row r="107" ht="44" customHeight="1">
      <x:c r="A107" s="22" t="str">
        <x:v>U122</x:v>
      </x:c>
      <x:c r="B107" s="22" t="str">
        <x:v>/guide/hanon-exercises</x:v>
      </x:c>
      <x:c r="C107" s="22" t="str">
        <x:v>guide</x:v>
      </x:c>
      <x:c r="D107" s="22" t="str">
        <x:v>other_module</x:v>
      </x:c>
      <x:c r="E107" s="22" t="str">
        <x:v>hanon piano exercises</x:v>
      </x:c>
      <x:c r="F107" s="22"/>
      <x:c r="G107" s="22" t="str">
        <x:v>后做</x:v>
      </x:c>
      <x:c r="H107" s="22" t="str">
        <x:v>not_established_by_this_chords_audit</x:v>
      </x:c>
      <x:c r="I107" s="22" t="str">
        <x:v>preserve_original_plan_no_auto_release</x:v>
      </x:c>
    </x:row>
    <x:row r="108" ht="44" customHeight="1">
      <x:c r="A108" s="22" t="str">
        <x:v>U123</x:v>
      </x:c>
      <x:c r="B108" s="22" t="str">
        <x:v>/guide/note-values-and-rhythm</x:v>
      </x:c>
      <x:c r="C108" s="22" t="str">
        <x:v>guide</x:v>
      </x:c>
      <x:c r="D108" s="22" t="str">
        <x:v>adjacent_dependency</x:v>
      </x:c>
      <x:c r="E108" s="22" t="str">
        <x:v>kinds of notes music</x:v>
      </x:c>
      <x:c r="F108" s="22" t="n">
        <x:v>1300</x:v>
      </x:c>
      <x:c r="G108" s="22" t="str">
        <x:v>后做</x:v>
      </x:c>
      <x:c r="H108" s="22" t="str">
        <x:v>not_established_by_this_chords_audit</x:v>
      </x:c>
      <x:c r="I108" s="22" t="str">
        <x:v>preserve_original_plan_no_auto_release</x:v>
      </x:c>
    </x:row>
    <x:row r="109" ht="44" customHeight="1">
      <x:c r="A109" s="22" t="str">
        <x:v>U124</x:v>
      </x:c>
      <x:c r="B109" s="22" t="str">
        <x:v>/guide/piano-exercises</x:v>
      </x:c>
      <x:c r="C109" s="22" t="str">
        <x:v>guide</x:v>
      </x:c>
      <x:c r="D109" s="22" t="str">
        <x:v>adjacent_dependency</x:v>
      </x:c>
      <x:c r="E109" s="22" t="str">
        <x:v>piano exercises for beginners</x:v>
      </x:c>
      <x:c r="F109" s="22"/>
      <x:c r="G109" s="22" t="str">
        <x:v>后做</x:v>
      </x:c>
      <x:c r="H109" s="22" t="str">
        <x:v>not_established_by_this_chords_audit</x:v>
      </x:c>
      <x:c r="I109" s="22" t="str">
        <x:v>preserve_original_plan_no_auto_release</x:v>
      </x:c>
    </x:row>
    <x:row r="110" ht="44" customHeight="1">
      <x:c r="A110" s="22" t="str">
        <x:v>U125</x:v>
      </x:c>
      <x:c r="B110" s="22" t="str">
        <x:v>/guide/piano-hand-position</x:v>
      </x:c>
      <x:c r="C110" s="22" t="str">
        <x:v>guide</x:v>
      </x:c>
      <x:c r="D110" s="22" t="str">
        <x:v>adjacent_dependency</x:v>
      </x:c>
      <x:c r="E110" s="22" t="str">
        <x:v>piano hand posture</x:v>
      </x:c>
      <x:c r="F110" s="22"/>
      <x:c r="G110" s="22" t="str">
        <x:v>后做</x:v>
      </x:c>
      <x:c r="H110" s="22" t="str">
        <x:v>not_established_by_this_chords_audit</x:v>
      </x:c>
      <x:c r="I110" s="22" t="str">
        <x:v>preserve_original_plan_no_auto_release</x:v>
      </x:c>
    </x:row>
    <x:row r="111" ht="44" customHeight="1">
      <x:c r="A111" s="22" t="str">
        <x:v>U126</x:v>
      </x:c>
      <x:c r="B111" s="22" t="str">
        <x:v>/guide/piano-practice</x:v>
      </x:c>
      <x:c r="C111" s="22" t="str">
        <x:v>guide</x:v>
      </x:c>
      <x:c r="D111" s="22" t="str">
        <x:v>adjacent_dependency</x:v>
      </x:c>
      <x:c r="E111" s="22" t="str">
        <x:v>piano practice</x:v>
      </x:c>
      <x:c r="F111" s="22"/>
      <x:c r="G111" s="22" t="str">
        <x:v>后做</x:v>
      </x:c>
      <x:c r="H111" s="22" t="str">
        <x:v>not_established_by_this_chords_audit</x:v>
      </x:c>
      <x:c r="I111" s="22" t="str">
        <x:v>preserve_original_plan_no_auto_release</x:v>
      </x:c>
    </x:row>
    <x:row r="112" ht="44" customHeight="1">
      <x:c r="A112" s="22" t="str">
        <x:v>U127</x:v>
      </x:c>
      <x:c r="B112" s="22" t="str">
        <x:v>/guide/music-symbols-and-piano-terms</x:v>
      </x:c>
      <x:c r="C112" s="22" t="str">
        <x:v>guide</x:v>
      </x:c>
      <x:c r="D112" s="22" t="str">
        <x:v>adjacent_dependency</x:v>
      </x:c>
      <x:c r="E112" s="22" t="str">
        <x:v>piano terms</x:v>
      </x:c>
      <x:c r="F112" s="22"/>
      <x:c r="G112" s="22" t="str">
        <x:v>后做</x:v>
      </x:c>
      <x:c r="H112" s="22" t="str">
        <x:v>not_established_by_this_chords_audit</x:v>
      </x:c>
      <x:c r="I112" s="22" t="str">
        <x:v>preserve_original_plan_no_auto_release</x:v>
      </x:c>
    </x:row>
    <x:row r="113" ht="44" customHeight="1">
      <x:c r="A113" s="22" t="str">
        <x:v>U038</x:v>
      </x:c>
      <x:c r="B113" s="22" t="str">
        <x:v>/sheet-music/let-it-go</x:v>
      </x:c>
      <x:c r="C113" s="22" t="str">
        <x:v>sheet_music</x:v>
      </x:c>
      <x:c r="D113" s="22" t="str">
        <x:v>other_module</x:v>
      </x:c>
      <x:c r="E113" s="22" t="str">
        <x:v>frozen let it go piano sheet music easy free pdf</x:v>
      </x:c>
      <x:c r="F113" s="22" t="n">
        <x:v>1600</x:v>
      </x:c>
      <x:c r="G113" s="22" t="str">
        <x:v>暂不做</x:v>
      </x:c>
      <x:c r="H113" s="22" t="str">
        <x:v>not_established_by_this_chords_audit</x:v>
      </x:c>
      <x:c r="I113" s="22" t="str">
        <x:v>preserve_original_plan_no_auto_release</x:v>
      </x:c>
    </x:row>
    <x:row r="114" ht="44" customHeight="1">
      <x:c r="A114" s="22" t="str">
        <x:v>U039</x:v>
      </x:c>
      <x:c r="B114" s="22" t="str">
        <x:v>/sheet-music/super-mario-theme</x:v>
      </x:c>
      <x:c r="C114" s="22" t="str">
        <x:v>sheet_music</x:v>
      </x:c>
      <x:c r="D114" s="22" t="str">
        <x:v>other_module</x:v>
      </x:c>
      <x:c r="E114" s="22" t="str">
        <x:v>super mario theme piano sheet music easy free pdf</x:v>
      </x:c>
      <x:c r="F114" s="22" t="n">
        <x:v>1600</x:v>
      </x:c>
      <x:c r="G114" s="22" t="str">
        <x:v>暂不做</x:v>
      </x:c>
      <x:c r="H114" s="22" t="str">
        <x:v>not_established_by_this_chords_audit</x:v>
      </x:c>
      <x:c r="I114" s="22" t="str">
        <x:v>preserve_original_plan_no_auto_release</x:v>
      </x:c>
    </x:row>
    <x:row r="115" ht="44" customHeight="1">
      <x:c r="A115" s="22" t="str">
        <x:v>U040</x:v>
      </x:c>
      <x:c r="B115" s="22" t="str">
        <x:v>/sheet-music/thats-amore</x:v>
      </x:c>
      <x:c r="C115" s="22" t="str">
        <x:v>sheet_music</x:v>
      </x:c>
      <x:c r="D115" s="22" t="str">
        <x:v>other_module</x:v>
      </x:c>
      <x:c r="E115" s="22" t="str">
        <x:v>what are the piano keys to thats amore</x:v>
      </x:c>
      <x:c r="F115" s="22" t="n">
        <x:v>1600</x:v>
      </x:c>
      <x:c r="G115" s="22" t="str">
        <x:v>暂不做</x:v>
      </x:c>
      <x:c r="H115" s="22" t="str">
        <x:v>not_established_by_this_chords_audit</x:v>
      </x:c>
      <x:c r="I115" s="22" t="str">
        <x:v>preserve_original_plan_no_auto_release</x:v>
      </x:c>
    </x:row>
    <x:row r="116" ht="44" customHeight="1">
      <x:c r="A116" s="22" t="str">
        <x:v>U042</x:v>
      </x:c>
      <x:c r="B116" s="22" t="str">
        <x:v>/sheet-music/black-parade</x:v>
      </x:c>
      <x:c r="C116" s="22" t="str">
        <x:v>sheet_music</x:v>
      </x:c>
      <x:c r="D116" s="22" t="str">
        <x:v>other_module</x:v>
      </x:c>
      <x:c r="E116" s="22" t="str">
        <x:v>black parade keys piano</x:v>
      </x:c>
      <x:c r="F116" s="22" t="n">
        <x:v>1300</x:v>
      </x:c>
      <x:c r="G116" s="22" t="str">
        <x:v>暂不做</x:v>
      </x:c>
      <x:c r="H116" s="22" t="str">
        <x:v>not_established_by_this_chords_audit</x:v>
      </x:c>
      <x:c r="I116" s="22" t="str">
        <x:v>preserve_original_plan_no_auto_release</x:v>
      </x:c>
    </x:row>
    <x:row r="117" ht="44" customHeight="1">
      <x:c r="A117" s="22" t="str">
        <x:v>U043</x:v>
      </x:c>
      <x:c r="B117" s="22" t="str">
        <x:v>/sheet-music/clocks</x:v>
      </x:c>
      <x:c r="C117" s="22" t="str">
        <x:v>sheet_music</x:v>
      </x:c>
      <x:c r="D117" s="22" t="str">
        <x:v>other_module</x:v>
      </x:c>
      <x:c r="E117" s="22" t="str">
        <x:v>clocks piano keys</x:v>
      </x:c>
      <x:c r="F117" s="22" t="n">
        <x:v>1300</x:v>
      </x:c>
      <x:c r="G117" s="22" t="str">
        <x:v>暂不做</x:v>
      </x:c>
      <x:c r="H117" s="22" t="str">
        <x:v>not_established_by_this_chords_audit</x:v>
      </x:c>
      <x:c r="I117" s="22" t="str">
        <x:v>preserve_original_plan_no_auto_release</x:v>
      </x:c>
    </x:row>
    <x:row r="118" ht="44" customHeight="1">
      <x:c r="A118" s="22" t="str">
        <x:v>U044</x:v>
      </x:c>
      <x:c r="B118" s="22" t="str">
        <x:v>/sheet-music/from-the-start</x:v>
      </x:c>
      <x:c r="C118" s="22" t="str">
        <x:v>sheet_music</x:v>
      </x:c>
      <x:c r="D118" s="22" t="str">
        <x:v>other_module</x:v>
      </x:c>
      <x:c r="E118" s="22" t="str">
        <x:v>from the start piano sheet music</x:v>
      </x:c>
      <x:c r="F118" s="22" t="n">
        <x:v>880</x:v>
      </x:c>
      <x:c r="G118" s="22" t="str">
        <x:v>暂不做</x:v>
      </x:c>
      <x:c r="H118" s="22" t="str">
        <x:v>not_established_by_this_chords_audit</x:v>
      </x:c>
      <x:c r="I118" s="22" t="str">
        <x:v>preserve_original_plan_no_auto_release</x:v>
      </x:c>
    </x:row>
    <x:row r="119" ht="44" customHeight="1">
      <x:c r="A119" s="22" t="str">
        <x:v>U046</x:v>
      </x:c>
      <x:c r="B119" s="22" t="str">
        <x:v>/sheet-music/song-of-storms</x:v>
      </x:c>
      <x:c r="C119" s="22" t="str">
        <x:v>sheet_music</x:v>
      </x:c>
      <x:c r="D119" s="22" t="str">
        <x:v>other_module</x:v>
      </x:c>
      <x:c r="E119" s="22" t="str">
        <x:v>song of storms piano sheet music</x:v>
      </x:c>
      <x:c r="F119" s="22" t="n">
        <x:v>720</x:v>
      </x:c>
      <x:c r="G119" s="22" t="str">
        <x:v>暂不做</x:v>
      </x:c>
      <x:c r="H119" s="22" t="str">
        <x:v>not_established_by_this_chords_audit</x:v>
      </x:c>
      <x:c r="I119" s="22" t="str">
        <x:v>preserve_original_plan_no_auto_release</x:v>
      </x:c>
    </x:row>
    <x:row r="120" ht="44" customHeight="1">
      <x:c r="A120" s="22" t="str">
        <x:v>U047</x:v>
      </x:c>
      <x:c r="B120" s="22" t="str">
        <x:v>/sheet-music/pink-panther</x:v>
      </x:c>
      <x:c r="C120" s="22" t="str">
        <x:v>sheet_music</x:v>
      </x:c>
      <x:c r="D120" s="22" t="str">
        <x:v>other_module</x:v>
      </x:c>
      <x:c r="E120" s="22" t="str">
        <x:v>pink panther theme song piano sheet</x:v>
      </x:c>
      <x:c r="F120" s="22" t="n">
        <x:v>590</x:v>
      </x:c>
      <x:c r="G120" s="22" t="str">
        <x:v>暂不做</x:v>
      </x:c>
      <x:c r="H120" s="22" t="str">
        <x:v>not_established_by_this_chords_audit</x:v>
      </x:c>
      <x:c r="I120" s="22" t="str">
        <x:v>preserve_original_plan_no_auto_release</x:v>
      </x:c>
    </x:row>
    <x:row r="121" ht="44" customHeight="1">
      <x:c r="A121" s="22" t="str">
        <x:v>U049</x:v>
      </x:c>
      <x:c r="B121" s="22" t="str">
        <x:v>/sheet-music/still-dre</x:v>
      </x:c>
      <x:c r="C121" s="22" t="str">
        <x:v>sheet_music</x:v>
      </x:c>
      <x:c r="D121" s="22" t="str">
        <x:v>other_module</x:v>
      </x:c>
      <x:c r="E121" s="22" t="str">
        <x:v>piano keys for still dre</x:v>
      </x:c>
      <x:c r="F121" s="22" t="n">
        <x:v>480</x:v>
      </x:c>
      <x:c r="G121" s="22" t="str">
        <x:v>暂不做</x:v>
      </x:c>
      <x:c r="H121" s="22" t="str">
        <x:v>not_established_by_this_chords_audit</x:v>
      </x:c>
      <x:c r="I121" s="22" t="str">
        <x:v>preserve_original_plan_no_auto_release</x:v>
      </x:c>
    </x:row>
    <x:row r="122" ht="44" customHeight="1">
      <x:c r="A122" s="22" t="str">
        <x:v>U050</x:v>
      </x:c>
      <x:c r="B122" s="22" t="str">
        <x:v>/sheet-music/carol-of-the-bells</x:v>
      </x:c>
      <x:c r="C122" s="22" t="str">
        <x:v>sheet_music</x:v>
      </x:c>
      <x:c r="D122" s="22" t="str">
        <x:v>other_module</x:v>
      </x:c>
      <x:c r="E122" s="22" t="str">
        <x:v>carol of the bells easy piano sheet music</x:v>
      </x:c>
      <x:c r="F122" s="22" t="n">
        <x:v>390</x:v>
      </x:c>
      <x:c r="G122" s="22" t="str">
        <x:v>暂不做</x:v>
      </x:c>
      <x:c r="H122" s="22" t="str">
        <x:v>not_established_by_this_chords_audit</x:v>
      </x:c>
      <x:c r="I122" s="22" t="str">
        <x:v>preserve_original_plan_no_auto_release</x:v>
      </x:c>
    </x:row>
    <x:row r="123" ht="44" customHeight="1">
      <x:c r="A123" s="22" t="str">
        <x:v>U051</x:v>
      </x:c>
      <x:c r="B123" s="22" t="str">
        <x:v>/sheet-music/edelweiss</x:v>
      </x:c>
      <x:c r="C123" s="22" t="str">
        <x:v>sheet_music</x:v>
      </x:c>
      <x:c r="D123" s="22" t="str">
        <x:v>other_module</x:v>
      </x:c>
      <x:c r="E123" s="22" t="str">
        <x:v>edelweiss song piano sheet</x:v>
      </x:c>
      <x:c r="F123" s="22" t="n">
        <x:v>320</x:v>
      </x:c>
      <x:c r="G123" s="22" t="str">
        <x:v>暂不做</x:v>
      </x:c>
      <x:c r="H123" s="22" t="str">
        <x:v>not_established_by_this_chords_audit</x:v>
      </x:c>
      <x:c r="I123" s="22" t="str">
        <x:v>preserve_original_plan_no_auto_release</x:v>
      </x:c>
    </x:row>
    <x:row r="124" ht="44" customHeight="1">
      <x:c r="A124" s="22" t="str">
        <x:v>U053</x:v>
      </x:c>
      <x:c r="B124" s="22" t="str">
        <x:v>/sheet-music/in-my-life</x:v>
      </x:c>
      <x:c r="C124" s="22" t="str">
        <x:v>sheet_music</x:v>
      </x:c>
      <x:c r="D124" s="22" t="str">
        <x:v>other_module</x:v>
      </x:c>
      <x:c r="E124" s="22" t="str">
        <x:v>in my life piano sheet music</x:v>
      </x:c>
      <x:c r="F124" s="22" t="n">
        <x:v>320</x:v>
      </x:c>
      <x:c r="G124" s="22" t="str">
        <x:v>暂不做</x:v>
      </x:c>
      <x:c r="H124" s="22" t="str">
        <x:v>not_established_by_this_chords_audit</x:v>
      </x:c>
      <x:c r="I124" s="22" t="str">
        <x:v>preserve_original_plan_no_auto_release</x:v>
      </x:c>
    </x:row>
    <x:row r="125" ht="44" customHeight="1">
      <x:c r="A125" s="22" t="str">
        <x:v>U055</x:v>
      </x:c>
      <x:c r="B125" s="22" t="str">
        <x:v>/sheet-music/all-of-me-john-legend</x:v>
      </x:c>
      <x:c r="C125" s="22" t="str">
        <x:v>sheet_music</x:v>
      </x:c>
      <x:c r="D125" s="22" t="str">
        <x:v>other_module</x:v>
      </x:c>
      <x:c r="E125" s="22" t="str">
        <x:v>john legend all of me piano keys</x:v>
      </x:c>
      <x:c r="F125" s="22" t="n">
        <x:v>320</x:v>
      </x:c>
      <x:c r="G125" s="22" t="str">
        <x:v>暂不做</x:v>
      </x:c>
      <x:c r="H125" s="22" t="str">
        <x:v>not_established_by_this_chords_audit</x:v>
      </x:c>
      <x:c r="I125" s="22" t="str">
        <x:v>preserve_original_plan_no_auto_release</x:v>
      </x:c>
    </x:row>
    <x:row r="126" ht="44" customHeight="1">
      <x:c r="A126" s="22" t="str">
        <x:v>U056</x:v>
      </x:c>
      <x:c r="B126" s="22" t="str">
        <x:v>/sheet-music/runaway-kanye-west</x:v>
      </x:c>
      <x:c r="C126" s="22" t="str">
        <x:v>sheet_music</x:v>
      </x:c>
      <x:c r="D126" s="22" t="str">
        <x:v>other_module</x:v>
      </x:c>
      <x:c r="E126" s="22" t="str">
        <x:v>piano keys for runaway kanye west</x:v>
      </x:c>
      <x:c r="F126" s="22" t="n">
        <x:v>320</x:v>
      </x:c>
      <x:c r="G126" s="22" t="str">
        <x:v>暂不做</x:v>
      </x:c>
      <x:c r="H126" s="22" t="str">
        <x:v>not_established_by_this_chords_audit</x:v>
      </x:c>
      <x:c r="I126" s="22" t="str">
        <x:v>preserve_original_plan_no_auto_release</x:v>
      </x:c>
    </x:row>
    <x:row r="127" ht="44" customHeight="1">
      <x:c r="A127" s="22" t="str">
        <x:v>U057</x:v>
      </x:c>
      <x:c r="B127" s="22" t="str">
        <x:v>/sheet-music/piano-man</x:v>
      </x:c>
      <x:c r="C127" s="22" t="str">
        <x:v>sheet_music</x:v>
      </x:c>
      <x:c r="D127" s="22" t="str">
        <x:v>other_module</x:v>
      </x:c>
      <x:c r="E127" s="22" t="str">
        <x:v>piano man sheet music easy</x:v>
      </x:c>
      <x:c r="F127" s="22" t="n">
        <x:v>320</x:v>
      </x:c>
      <x:c r="G127" s="22" t="str">
        <x:v>暂不做</x:v>
      </x:c>
      <x:c r="H127" s="22" t="str">
        <x:v>not_established_by_this_chords_audit</x:v>
      </x:c>
      <x:c r="I127" s="22" t="str">
        <x:v>preserve_original_plan_no_auto_release</x:v>
      </x:c>
    </x:row>
    <x:row r="128" ht="44" customHeight="1">
      <x:c r="A128" s="22" t="str">
        <x:v>U058</x:v>
      </x:c>
      <x:c r="B128" s="22" t="str">
        <x:v>/sheet-music/someone-like-you-adele</x:v>
      </x:c>
      <x:c r="C128" s="22" t="str">
        <x:v>sheet_music</x:v>
      </x:c>
      <x:c r="D128" s="22" t="str">
        <x:v>other_module</x:v>
      </x:c>
      <x:c r="E128" s="22" t="str">
        <x:v>someone like you adele piano keys</x:v>
      </x:c>
      <x:c r="F128" s="22" t="n">
        <x:v>320</x:v>
      </x:c>
      <x:c r="G128" s="22" t="str">
        <x:v>暂不做</x:v>
      </x:c>
      <x:c r="H128" s="22" t="str">
        <x:v>not_established_by_this_chords_audit</x:v>
      </x:c>
      <x:c r="I128" s="22" t="str">
        <x:v>preserve_original_plan_no_auto_release</x:v>
      </x:c>
    </x:row>
    <x:row r="129" ht="44" customHeight="1">
      <x:c r="A129" s="22" t="str">
        <x:v>U059</x:v>
      </x:c>
      <x:c r="B129" s="22" t="str">
        <x:v>/sheet-music/song-of-healing</x:v>
      </x:c>
      <x:c r="C129" s="22" t="str">
        <x:v>sheet_music</x:v>
      </x:c>
      <x:c r="D129" s="22" t="str">
        <x:v>other_module</x:v>
      </x:c>
      <x:c r="E129" s="22" t="str">
        <x:v>song of healing piano sheet music</x:v>
      </x:c>
      <x:c r="F129" s="22" t="n">
        <x:v>320</x:v>
      </x:c>
      <x:c r="G129" s="22" t="str">
        <x:v>暂不做</x:v>
      </x:c>
      <x:c r="H129" s="22" t="str">
        <x:v>not_established_by_this_chords_audit</x:v>
      </x:c>
      <x:c r="I129" s="22" t="str">
        <x:v>preserve_original_plan_no_auto_release</x:v>
      </x:c>
    </x:row>
    <x:row r="130" ht="44" customHeight="1">
      <x:c r="A130" s="22" t="str">
        <x:v>U060</x:v>
      </x:c>
      <x:c r="B130" s="22" t="str">
        <x:v>/sheet-music/a-whole-new-world</x:v>
      </x:c>
      <x:c r="C130" s="22" t="str">
        <x:v>sheet_music</x:v>
      </x:c>
      <x:c r="D130" s="22" t="str">
        <x:v>other_module</x:v>
      </x:c>
      <x:c r="E130" s="22" t="str">
        <x:v>a whole new world piano keys</x:v>
      </x:c>
      <x:c r="F130" s="22" t="n">
        <x:v>260</x:v>
      </x:c>
      <x:c r="G130" s="22" t="str">
        <x:v>暂不做</x:v>
      </x:c>
      <x:c r="H130" s="22" t="str">
        <x:v>not_established_by_this_chords_audit</x:v>
      </x:c>
      <x:c r="I130" s="22" t="str">
        <x:v>preserve_original_plan_no_auto_release</x:v>
      </x:c>
    </x:row>
    <x:row r="131" ht="44" customHeight="1">
      <x:c r="A131" s="22" t="str">
        <x:v>U063</x:v>
      </x:c>
      <x:c r="B131" s="22" t="str">
        <x:v>/sheet-music/easy-on-me</x:v>
      </x:c>
      <x:c r="C131" s="22" t="str">
        <x:v>sheet_music</x:v>
      </x:c>
      <x:c r="D131" s="22" t="str">
        <x:v>other_module</x:v>
      </x:c>
      <x:c r="E131" s="22" t="str">
        <x:v>easy on me piano sheet music</x:v>
      </x:c>
      <x:c r="F131" s="22"/>
      <x:c r="G131" s="22" t="str">
        <x:v>暂不做</x:v>
      </x:c>
      <x:c r="H131" s="22" t="str">
        <x:v>not_established_by_this_chords_audit</x:v>
      </x:c>
      <x:c r="I131" s="22" t="str">
        <x:v>preserve_original_plan_no_auto_release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c2fdd0420331426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8" hidden="0" customWidth="1"/>
    <x:col min="3" max="3" width="13" hidden="0" customWidth="1"/>
    <x:col min="4" max="4" width="22" hidden="0" customWidth="1"/>
    <x:col min="5" max="5" width="12" hidden="0" customWidth="1"/>
    <x:col min="6" max="6" width="36" hidden="0" customWidth="1"/>
    <x:col min="7" max="7" width="22" hidden="0" customWidth="1"/>
    <x:col min="8" max="8" width="50" hidden="0" customWidth="1"/>
    <x:col min="9" max="9" width="46" hidden="0" customWidth="1"/>
  </x:cols>
  <x:sheetData>
    <x:row r="1" ht="32" customHeight="1">
      <x:c r="A1" s="3" t="str">
        <x:v>原191关键词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证据口径：原规划来自附件；实现来自用户报告，待Codex以同一版本核对；预测数量不作强制指标。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14" t="str">
        <x:v>关键词ID</x:v>
      </x:c>
      <x:c r="B4" s="14" t="str">
        <x:v>原关键词</x:v>
      </x:c>
      <x:c r="C4" s="14" t="str">
        <x:v>原US量</x:v>
      </x:c>
      <x:c r="D4" s="14" t="str">
        <x:v>原归并关系</x:v>
      </x:c>
      <x:c r="E4" s="14" t="str">
        <x:v>原任务ID</x:v>
      </x:c>
      <x:c r="F4" s="14" t="str">
        <x:v>原URL</x:v>
      </x:c>
      <x:c r="G4" s="14" t="str">
        <x:v>同页分区</x:v>
      </x:c>
      <x:c r="H4" s="14" t="str">
        <x:v>原来源位置</x:v>
      </x:c>
      <x:c r="I4" s="14" t="str">
        <x:v>原交付要求</x:v>
      </x:c>
    </x:row>
    <x:row r="5" ht="44" customHeight="1">
      <x:c r="A5" s="22" t="str">
        <x:v>K0018</x:v>
      </x:c>
      <x:c r="B5" s="22" t="str">
        <x:v>piano chord chart</x:v>
      </x:c>
      <x:c r="C5" s="22" t="n">
        <x:v>6600</x:v>
      </x:c>
      <x:c r="D5" s="22" t="str">
        <x:v>页面代表词</x:v>
      </x:c>
      <x:c r="E5" s="22" t="str">
        <x:v>P148</x:v>
      </x:c>
      <x:c r="F5" s="22" t="str">
        <x:v>/chords</x:v>
      </x:c>
      <x:c r="G5" s="22"/>
      <x:c r="H5" s="22" t="str">
        <x:v>piano_keyword_research_combined.xlsx｜关键词数据!A296:G296; 关键词策略构建器数据汇总.md｜L73｜piano chord chart &gt; piano chord chart; 关键词策略构建器数据汇总.md｜L318｜beginner piano sheet music &gt; easy piano sheet music with chords; 关键词策略构建器数据汇总.md｜L460｜piano scales &gt; piano chords and progressions</x:v>
      </x:c>
      <x:c r="I5" s="22" t="str">
        <x:v>默认有图表；根音/类型选择、试听、打印及读图说明。</x:v>
      </x:c>
    </x:row>
    <x:row r="6" ht="44" customHeight="1">
      <x:c r="A6" s="22" t="str">
        <x:v>K0027</x:v>
      </x:c>
      <x:c r="B6" s="22" t="str">
        <x:v>keyboard chord sheet</x:v>
      </x:c>
      <x:c r="C6" s="22" t="n">
        <x:v>5400</x:v>
      </x:c>
      <x:c r="D6" s="22" t="str">
        <x:v>同义词合并</x:v>
      </x:c>
      <x:c r="E6" s="22" t="str">
        <x:v>P148</x:v>
      </x:c>
      <x:c r="F6" s="22" t="str">
        <x:v>/chords</x:v>
      </x:c>
      <x:c r="G6" s="22"/>
      <x:c r="H6" s="22" t="str">
        <x:v>piano_keyword_research_combined.xlsx｜关键词数据!A298:G298</x:v>
      </x:c>
      <x:c r="I6" s="22" t="str">
        <x:v>默认有图表；根音/类型选择、试听、打印及读图说明。</x:v>
      </x:c>
    </x:row>
    <x:row r="7" ht="44" customHeight="1">
      <x:c r="A7" s="22" t="str">
        <x:v>K0030</x:v>
      </x:c>
      <x:c r="B7" s="22" t="str">
        <x:v>a chord piano</x:v>
      </x:c>
      <x:c r="C7" s="22" t="n">
        <x:v>4400</x:v>
      </x:c>
      <x:c r="D7" s="22" t="str">
        <x:v>页面代表词</x:v>
      </x:c>
      <x:c r="E7" s="22" t="str">
        <x:v>P149</x:v>
      </x:c>
      <x:c r="F7" s="22" t="str">
        <x:v>/chords/a-major</x:v>
      </x:c>
      <x:c r="G7" s="22"/>
      <x:c r="H7" s="22" t="str">
        <x:v>piano_keyword_research_combined.xlsx｜关键词数据!A299:G299; 关键词策略构建器数据汇总.md｜L74｜piano chord chart &gt; piano chord chart; 关键词策略构建器数据汇总.md｜L319｜beginner piano sheet music &gt; easy piano sheet music with chords; 关键词策略构建器数据汇总.md｜L461｜piano scales &gt; piano chords and progressions</x:v>
      </x:c>
      <x:c r="I7" s="22" t="str">
        <x:v>当前和弦的音名/键位/音程；原位和转位；可用时播放；清晰指法说明；相关查询链接</x:v>
      </x:c>
    </x:row>
    <x:row r="8" ht="44" customHeight="1">
      <x:c r="A8" s="22" t="str">
        <x:v>K0037</x:v>
      </x:c>
      <x:c r="B8" s="22" t="str">
        <x:v>b chord piano</x:v>
      </x:c>
      <x:c r="C8" s="22" t="n">
        <x:v>3600</x:v>
      </x:c>
      <x:c r="D8" s="22" t="str">
        <x:v>页面代表词</x:v>
      </x:c>
      <x:c r="E8" s="22" t="str">
        <x:v>P150</x:v>
      </x:c>
      <x:c r="F8" s="22" t="str">
        <x:v>/chords/b-major</x:v>
      </x:c>
      <x:c r="G8" s="22"/>
      <x:c r="H8" s="22" t="str">
        <x:v>piano_keyword_research_combined.xlsx｜关键词数据!A300:G300; 关键词策略构建器数据汇总.md｜L512｜piano scales &gt; piano scales and fingering</x:v>
      </x:c>
      <x:c r="I8" s="22" t="str">
        <x:v>当前和弦的音名/键位/音程；原位和转位；可用时播放；清晰指法说明；相关查询链接</x:v>
      </x:c>
    </x:row>
    <x:row r="9" ht="44" customHeight="1">
      <x:c r="A9" s="22" t="str">
        <x:v>K0052</x:v>
      </x:c>
      <x:c r="B9" s="22" t="str">
        <x:v>keyboard chord chart</x:v>
      </x:c>
      <x:c r="C9" s="22" t="n">
        <x:v>2900</x:v>
      </x:c>
      <x:c r="D9" s="22" t="str">
        <x:v>同义词合并</x:v>
      </x:c>
      <x:c r="E9" s="22" t="str">
        <x:v>P148</x:v>
      </x:c>
      <x:c r="F9" s="22" t="str">
        <x:v>/chords</x:v>
      </x:c>
      <x:c r="G9" s="22"/>
      <x:c r="H9" s="22" t="str">
        <x:v>piano_keyword_research_combined.xlsx｜关键词数据!A302:G302</x:v>
      </x:c>
      <x:c r="I9" s="22" t="str">
        <x:v>默认有图表；根音/类型选择、试听、打印及读图说明。</x:v>
      </x:c>
    </x:row>
    <x:row r="10" ht="44" customHeight="1">
      <x:c r="A10" s="22" t="str">
        <x:v>K0059</x:v>
      </x:c>
      <x:c r="B10" s="22" t="str">
        <x:v>a piano chord</x:v>
      </x:c>
      <x:c r="C10" s="22" t="n">
        <x:v>2400</x:v>
      </x:c>
      <x:c r="D10" s="22" t="str">
        <x:v>同义词合并</x:v>
      </x:c>
      <x:c r="E10" s="22" t="str">
        <x:v>P149</x:v>
      </x:c>
      <x:c r="F10" s="22" t="str">
        <x:v>/chords/a-major</x:v>
      </x:c>
      <x:c r="G10" s="22"/>
      <x:c r="H10" s="22" t="str">
        <x:v>piano_keyword_research_combined.xlsx｜关键词数据!A304:G304</x:v>
      </x:c>
      <x:c r="I10" s="22" t="str">
        <x:v>当前和弦的音名/键位/音程；原位和转位；可用时播放；清晰指法说明；相关查询链接</x:v>
      </x:c>
    </x:row>
    <x:row r="11" ht="44" customHeight="1">
      <x:c r="A11" s="22" t="str">
        <x:v>K0060</x:v>
      </x:c>
      <x:c r="B11" s="22" t="str">
        <x:v>b piano chord</x:v>
      </x:c>
      <x:c r="C11" s="22" t="n">
        <x:v>2400</x:v>
      </x:c>
      <x:c r="D11" s="22" t="str">
        <x:v>同义词合并</x:v>
      </x:c>
      <x:c r="E11" s="22" t="str">
        <x:v>P150</x:v>
      </x:c>
      <x:c r="F11" s="22" t="str">
        <x:v>/chords/b-major</x:v>
      </x:c>
      <x:c r="G11" s="22"/>
      <x:c r="H11" s="22" t="str">
        <x:v>piano_keyword_research_combined.xlsx｜关键词数据!A305:G305</x:v>
      </x:c>
      <x:c r="I11" s="22" t="str">
        <x:v>当前和弦的音名/键位/音程；原位和转位；可用时播放；清晰指法说明；相关查询链接</x:v>
      </x:c>
    </x:row>
    <x:row r="12" ht="44" customHeight="1">
      <x:c r="A12" s="22" t="str">
        <x:v>K0062</x:v>
      </x:c>
      <x:c r="B12" s="22" t="str">
        <x:v>common chord progressions</x:v>
      </x:c>
      <x:c r="C12" s="22" t="n">
        <x:v>2400</x:v>
      </x:c>
      <x:c r="D12" s="22" t="str">
        <x:v>页面代表词</x:v>
      </x:c>
      <x:c r="E12" s="22" t="str">
        <x:v>P172</x:v>
      </x:c>
      <x:c r="F12" s="22" t="str">
        <x:v>/chord-progressions</x:v>
      </x:c>
      <x:c r="G12" s="22" t="str">
        <x:v>common</x:v>
      </x:c>
      <x:c r="H12" s="22" t="str">
        <x:v>piano_keyword_research_combined.xlsx｜关键词数据!A307:G307</x:v>
      </x:c>
      <x:c r="I12" s="22" t="str">
        <x:v>常见和弦走向集合；必须在该页提供实际结果，不只增加一个关键词。</x:v>
      </x:c>
    </x:row>
    <x:row r="13" ht="44" customHeight="1">
      <x:c r="A13" s="22" t="str">
        <x:v>K0073</x:v>
      </x:c>
      <x:c r="B13" s="22" t="str">
        <x:v>am piano chord</x:v>
      </x:c>
      <x:c r="C13" s="22" t="n">
        <x:v>1900</x:v>
      </x:c>
      <x:c r="D13" s="22" t="str">
        <x:v>页面代表词</x:v>
      </x:c>
      <x:c r="E13" s="22" t="str">
        <x:v>P151</x:v>
      </x:c>
      <x:c r="F13" s="22" t="str">
        <x:v>/chords/a-minor</x:v>
      </x:c>
      <x:c r="G13" s="22"/>
      <x:c r="H13" s="22" t="str">
        <x:v>piano_keyword_research_combined.xlsx｜关键词数据!A308:G308</x:v>
      </x:c>
      <x:c r="I13" s="22" t="str">
        <x:v>当前和弦的音名/键位/音程；原位和转位；可用时播放；清晰指法说明；相关查询链接</x:v>
      </x:c>
    </x:row>
    <x:row r="14" ht="44" customHeight="1">
      <x:c r="A14" s="22" t="str">
        <x:v>K0074</x:v>
      </x:c>
      <x:c r="B14" s="22" t="str">
        <x:v>chords of key</x:v>
      </x:c>
      <x:c r="C14" s="22" t="n">
        <x:v>1900</x:v>
      </x:c>
      <x:c r="D14" s="22" t="str">
        <x:v>页面代表词</x:v>
      </x:c>
      <x:c r="E14" s="22" t="str">
        <x:v>P152</x:v>
      </x:c>
      <x:c r="F14" s="22" t="str">
        <x:v>/chords/by-key</x:v>
      </x:c>
      <x:c r="G14" s="22"/>
      <x:c r="H14" s="22" t="str">
        <x:v>piano_keyword_research_combined.xlsx｜关键词数据!A310:G310; 关键词策略构建器数据汇总.md｜L322｜beginner piano sheet music &gt; easy piano sheet music with chords</x:v>
      </x:c>
      <x:c r="I14" s="22" t="str">
        <x:v>有内容的调性选择器与各级和弦表；支持已有G/D/C/E/A/F及D minor任务</x:v>
      </x:c>
    </x:row>
    <x:row r="15" ht="44" customHeight="1">
      <x:c r="A15" s="22" t="str">
        <x:v>K0082</x:v>
      </x:c>
      <x:c r="B15" s="22" t="str">
        <x:v>how to play chords on piano</x:v>
      </x:c>
      <x:c r="C15" s="22" t="n">
        <x:v>1900</x:v>
      </x:c>
      <x:c r="D15" s="22" t="str">
        <x:v>页面代表词</x:v>
      </x:c>
      <x:c r="E15" s="22" t="str">
        <x:v>P220</x:v>
      </x:c>
      <x:c r="F15" s="22" t="str">
        <x:v>/guide/piano-chords</x:v>
      </x:c>
      <x:c r="G15" s="22"/>
      <x:c r="H15" s="22" t="str">
        <x:v>piano_keyword_research_combined.xlsx｜关键词数据!A311:G311</x:v>
      </x:c>
      <x:c r="I15" s="22" t="str">
        <x:v>步骤、构成、指法示意及连接练习；链接查图工具</x:v>
      </x:c>
    </x:row>
    <x:row r="16" ht="44" customHeight="1">
      <x:c r="A16" s="22" t="str">
        <x:v>K0086</x:v>
      </x:c>
      <x:c r="B16" s="22" t="str">
        <x:v>music chord charts piano</x:v>
      </x:c>
      <x:c r="C16" s="22" t="n">
        <x:v>1900</x:v>
      </x:c>
      <x:c r="D16" s="22" t="str">
        <x:v>同义词合并</x:v>
      </x:c>
      <x:c r="E16" s="22" t="str">
        <x:v>P148</x:v>
      </x:c>
      <x:c r="F16" s="22" t="str">
        <x:v>/chords</x:v>
      </x:c>
      <x:c r="G16" s="22"/>
      <x:c r="H16" s="22" t="str">
        <x:v>piano_keyword_research_combined.xlsx｜关键词数据!A313:G313</x:v>
      </x:c>
      <x:c r="I16" s="22" t="str">
        <x:v>默认有图表；根音/类型选择、试听、打印及读图说明。</x:v>
      </x:c>
    </x:row>
    <x:row r="17" ht="44" customHeight="1">
      <x:c r="A17" s="22" t="str">
        <x:v>K0100</x:v>
      </x:c>
      <x:c r="B17" s="22" t="str">
        <x:v>chord chart piano</x:v>
      </x:c>
      <x:c r="C17" s="22" t="n">
        <x:v>1600</x:v>
      </x:c>
      <x:c r="D17" s="22" t="str">
        <x:v>同义词合并</x:v>
      </x:c>
      <x:c r="E17" s="22" t="str">
        <x:v>P148</x:v>
      </x:c>
      <x:c r="F17" s="22" t="str">
        <x:v>/chords</x:v>
      </x:c>
      <x:c r="G17" s="22"/>
      <x:c r="H17" s="22" t="str">
        <x:v>piano_keyword_research_combined.xlsx｜关键词数据!A314:G314</x:v>
      </x:c>
      <x:c r="I17" s="22" t="str">
        <x:v>默认有图表；根音/类型选择、试听、打印及读图说明。</x:v>
      </x:c>
    </x:row>
    <x:row r="18" ht="44" customHeight="1">
      <x:c r="A18" s="22" t="str">
        <x:v>K0116</x:v>
      </x:c>
      <x:c r="B18" s="22" t="str">
        <x:v>piano chord progressions</x:v>
      </x:c>
      <x:c r="C18" s="22" t="n">
        <x:v>1600</x:v>
      </x:c>
      <x:c r="D18" s="22" t="str">
        <x:v>页面代表词</x:v>
      </x:c>
      <x:c r="E18" s="22" t="str">
        <x:v>P173</x:v>
      </x:c>
      <x:c r="F18" s="22" t="str">
        <x:v>/chord-progressions</x:v>
      </x:c>
      <x:c r="G18" s="22"/>
      <x:c r="H18" s="22" t="str">
        <x:v>piano_keyword_research_combined.xlsx｜关键词数据!A295:G295; 关键词策略构建器数据汇总.md｜L107｜piano chord chart &gt; piano chord accompaniment; 关键词策略构建器数据汇总.md｜L464｜piano scales &gt; piano chords and progressions; piano_keyword_research_combined.xlsx｜关键词数据!A317:G317; 关键词策略构建器数据汇总.md｜L325｜beginner piano sheet music &gt; easy piano sheet music with chords</x:v>
      </x:c>
      <x:c r="I18" s="22" t="str">
        <x:v>常见走向列表；C/E/A调转写选择；优美/愉快效果标签；含义与使用说明；打印</x:v>
      </x:c>
    </x:row>
    <x:row r="19" ht="44" customHeight="1">
      <x:c r="A19" s="22" t="str">
        <x:v>K0132</x:v>
      </x:c>
      <x:c r="B19" s="22" t="str">
        <x:v>a major chord piano</x:v>
      </x:c>
      <x:c r="C19" s="22" t="n">
        <x:v>1300</x:v>
      </x:c>
      <x:c r="D19" s="22" t="str">
        <x:v>同义词合并</x:v>
      </x:c>
      <x:c r="E19" s="22" t="str">
        <x:v>P149</x:v>
      </x:c>
      <x:c r="F19" s="22" t="str">
        <x:v>/chords/a-major</x:v>
      </x:c>
      <x:c r="G19" s="22"/>
      <x:c r="H19" s="22" t="str">
        <x:v>piano_keyword_research_combined.xlsx｜关键词数据!A320:G320</x:v>
      </x:c>
      <x:c r="I19" s="22" t="str">
        <x:v>当前和弦的音名/键位/音程；原位和转位；可用时播放；清晰指法说明；相关查询链接</x:v>
      </x:c>
    </x:row>
    <x:row r="20" ht="44" customHeight="1">
      <x:c r="A20" s="22" t="str">
        <x:v>K0134</x:v>
      </x:c>
      <x:c r="B20" s="22" t="str">
        <x:v>am on piano chord</x:v>
      </x:c>
      <x:c r="C20" s="22" t="n">
        <x:v>1300</x:v>
      </x:c>
      <x:c r="D20" s="22" t="str">
        <x:v>同义词合并</x:v>
      </x:c>
      <x:c r="E20" s="22" t="str">
        <x:v>P151</x:v>
      </x:c>
      <x:c r="F20" s="22" t="str">
        <x:v>/chords/a-minor</x:v>
      </x:c>
      <x:c r="G20" s="22"/>
      <x:c r="H20" s="22" t="str">
        <x:v>piano_keyword_research_combined.xlsx｜关键词数据!A322:G322</x:v>
      </x:c>
      <x:c r="I20" s="22" t="str">
        <x:v>当前和弦的音名/键位/音程；原位和转位；可用时播放；清晰指法说明；相关查询链接</x:v>
      </x:c>
    </x:row>
    <x:row r="21" ht="44" customHeight="1">
      <x:c r="A21" s="22" t="str">
        <x:v>K0136</x:v>
      </x:c>
      <x:c r="B21" s="22" t="str">
        <x:v>b major chord in piano</x:v>
      </x:c>
      <x:c r="C21" s="22" t="n">
        <x:v>1300</x:v>
      </x:c>
      <x:c r="D21" s="22" t="str">
        <x:v>同义词合并</x:v>
      </x:c>
      <x:c r="E21" s="22" t="str">
        <x:v>P150</x:v>
      </x:c>
      <x:c r="F21" s="22" t="str">
        <x:v>/chords/b-major</x:v>
      </x:c>
      <x:c r="G21" s="22"/>
      <x:c r="H21" s="22" t="str">
        <x:v>piano_keyword_research_combined.xlsx｜关键词数据!A323:G323</x:v>
      </x:c>
      <x:c r="I21" s="22" t="str">
        <x:v>当前和弦的音名/键位/音程；原位和转位；可用时播放；清晰指法说明；相关查询链接</x:v>
      </x:c>
    </x:row>
    <x:row r="22" ht="44" customHeight="1">
      <x:c r="A22" s="22" t="str">
        <x:v>K0137</x:v>
      </x:c>
      <x:c r="B22" s="22" t="str">
        <x:v>b major chords on piano</x:v>
      </x:c>
      <x:c r="C22" s="22" t="n">
        <x:v>1300</x:v>
      </x:c>
      <x:c r="D22" s="22" t="str">
        <x:v>同义词合并</x:v>
      </x:c>
      <x:c r="E22" s="22" t="str">
        <x:v>P150</x:v>
      </x:c>
      <x:c r="F22" s="22" t="str">
        <x:v>/chords/b-major</x:v>
      </x:c>
      <x:c r="G22" s="22"/>
      <x:c r="H22" s="22" t="str">
        <x:v>piano_keyword_research_combined.xlsx｜关键词数据!A324:G324</x:v>
      </x:c>
      <x:c r="I22" s="22" t="str">
        <x:v>当前和弦的音名/键位/音程；原位和转位；可用时播放；清晰指法说明；相关查询链接</x:v>
      </x:c>
    </x:row>
    <x:row r="23" ht="44" customHeight="1">
      <x:c r="A23" s="22" t="str">
        <x:v>K0138</x:v>
      </x:c>
      <x:c r="B23" s="22" t="str">
        <x:v>basic piano chords</x:v>
      </x:c>
      <x:c r="C23" s="22" t="n">
        <x:v>1300</x:v>
      </x:c>
      <x:c r="D23" s="22" t="str">
        <x:v>页面代表词</x:v>
      </x:c>
      <x:c r="E23" s="22" t="str">
        <x:v>P225</x:v>
      </x:c>
      <x:c r="F23" s="22" t="str">
        <x:v>/guide/piano-chords</x:v>
      </x:c>
      <x:c r="G23" s="22" t="str">
        <x:v>beginner</x:v>
      </x:c>
      <x:c r="H23" s="22" t="str">
        <x:v>piano_keyword_research_combined.xlsx｜关键词数据!A325:G325</x:v>
      </x:c>
      <x:c r="I23" s="22" t="str">
        <x:v>初学钢琴基础和弦选择与弹法；必须在该页提供实际结果，不只增加一个关键词。</x:v>
      </x:c>
    </x:row>
    <x:row r="24" ht="44" customHeight="1">
      <x:c r="A24" s="22" t="str">
        <x:v>K0145</x:v>
      </x:c>
      <x:c r="B24" s="22" t="str">
        <x:v>chord b on piano</x:v>
      </x:c>
      <x:c r="C24" s="22" t="n">
        <x:v>1300</x:v>
      </x:c>
      <x:c r="D24" s="22" t="str">
        <x:v>同义词合并</x:v>
      </x:c>
      <x:c r="E24" s="22" t="str">
        <x:v>P150</x:v>
      </x:c>
      <x:c r="F24" s="22" t="str">
        <x:v>/chords/b-major</x:v>
      </x:c>
      <x:c r="G24" s="22"/>
      <x:c r="H24" s="22" t="str">
        <x:v>piano_keyword_research_combined.xlsx｜关键词数据!A326:G326</x:v>
      </x:c>
      <x:c r="I24" s="22" t="str">
        <x:v>当前和弦的音名/键位/音程；原位和转位；可用时播放；清晰指法说明；相关查询链接</x:v>
      </x:c>
    </x:row>
    <x:row r="25" ht="44" customHeight="1">
      <x:c r="A25" s="22" t="str">
        <x:v>K0146</x:v>
      </x:c>
      <x:c r="B25" s="22" t="str">
        <x:v>chord finder piano</x:v>
      </x:c>
      <x:c r="C25" s="22" t="n">
        <x:v>1300</x:v>
      </x:c>
      <x:c r="D25" s="22" t="str">
        <x:v>页面代表词</x:v>
      </x:c>
      <x:c r="E25" s="22" t="str">
        <x:v>P153</x:v>
      </x:c>
      <x:c r="F25" s="22" t="str">
        <x:v>/chords/finder</x:v>
      </x:c>
      <x:c r="G25" s="22"/>
      <x:c r="H25" s="22" t="str">
        <x:v>piano_keyword_research_combined.xlsx｜关键词数据!A327:G327</x:v>
      </x:c>
      <x:c r="I25" s="22" t="str">
        <x:v>选择音符；列出可能命名、低音与拼写说明</x:v>
      </x:c>
    </x:row>
    <x:row r="26" ht="44" customHeight="1">
      <x:c r="A26" s="22" t="str">
        <x:v>K0147</x:v>
      </x:c>
      <x:c r="B26" s="22" t="str">
        <x:v>chords in the key of a</x:v>
      </x:c>
      <x:c r="C26" s="22" t="n">
        <x:v>1300</x:v>
      </x:c>
      <x:c r="D26" s="22" t="str">
        <x:v>同页补充/条件/问题（非同义）</x:v>
      </x:c>
      <x:c r="E26" s="22" t="str">
        <x:v>P161</x:v>
      </x:c>
      <x:c r="F26" s="22" t="str">
        <x:v>/chords/by-key</x:v>
      </x:c>
      <x:c r="G26" s="22" t="str">
        <x:v>a-major</x:v>
      </x:c>
      <x:c r="H26" s="22" t="str">
        <x:v>piano_keyword_research_combined.xlsx｜关键词数据!A328:G328</x:v>
      </x:c>
      <x:c r="I26" s="22" t="str">
        <x:v>查询A大调和弦集合；必须在该页提供实际结果，不只增加一个关键词。</x:v>
      </x:c>
    </x:row>
    <x:row r="27" ht="44" customHeight="1">
      <x:c r="A27" s="22" t="str">
        <x:v>K0170</x:v>
      </x:c>
      <x:c r="B27" s="22" t="str">
        <x:v>minor chords piano</x:v>
      </x:c>
      <x:c r="C27" s="22" t="n">
        <x:v>1300</x:v>
      </x:c>
      <x:c r="D27" s="22" t="str">
        <x:v>页面代表词</x:v>
      </x:c>
      <x:c r="E27" s="22" t="str">
        <x:v>P154</x:v>
      </x:c>
      <x:c r="F27" s="22" t="str">
        <x:v>/chords</x:v>
      </x:c>
      <x:c r="G27" s="22" t="str">
        <x:v>minor</x:v>
      </x:c>
      <x:c r="H27" s="22" t="str">
        <x:v>piano_keyword_research_combined.xlsx｜关键词数据!A330:G330</x:v>
      </x:c>
      <x:c r="I27" s="22" t="str">
        <x:v>minor 选择后显示经过核对的实际和弦结果。</x:v>
      </x:c>
    </x:row>
    <x:row r="28" ht="44" customHeight="1">
      <x:c r="A28" s="22" t="str">
        <x:v>K0177</x:v>
      </x:c>
      <x:c r="B28" s="22" t="str">
        <x:v>piano fingering chart</x:v>
      </x:c>
      <x:c r="C28" s="22" t="n">
        <x:v>1300</x:v>
      </x:c>
      <x:c r="D28" s="22" t="str">
        <x:v>页面代表词</x:v>
      </x:c>
      <x:c r="E28" s="22" t="str">
        <x:v>P126</x:v>
      </x:c>
      <x:c r="F28" s="22" t="str">
        <x:v>/keyboard-notes/finger-numbers</x:v>
      </x:c>
      <x:c r="G28" s="22"/>
      <x:c r="H28" s="22" t="str">
        <x:v>piano_keyword_research_combined.xlsx｜关键词数据!A45:G45; 关键词策略构建器数据汇总.md｜L510｜piano scales &gt; piano scales and fingering</x:v>
      </x:c>
      <x:c r="I28" s="22" t="str">
        <x:v>左右手编号图；基础使用说明；链接到具体和弦/音阶指法</x:v>
      </x:c>
    </x:row>
    <x:row r="29" ht="44" customHeight="1">
      <x:c r="A29" s="22" t="str">
        <x:v>K0187</x:v>
      </x:c>
      <x:c r="B29" s="22" t="str">
        <x:v>a flat chord piano</x:v>
      </x:c>
      <x:c r="C29" s="22" t="n">
        <x:v>1000</x:v>
      </x:c>
      <x:c r="D29" s="22" t="str">
        <x:v>页面代表词</x:v>
      </x:c>
      <x:c r="E29" s="22" t="str">
        <x:v>P155</x:v>
      </x:c>
      <x:c r="F29" s="22" t="str">
        <x:v>/chords/a-flat-major</x:v>
      </x:c>
      <x:c r="G29" s="22"/>
      <x:c r="H29" s="22" t="str">
        <x:v>piano_keyword_research_combined.xlsx｜关键词数据!A335:G335</x:v>
      </x:c>
      <x:c r="I29" s="22" t="str">
        <x:v>当前和弦的音名/键位/音程；原位和转位；可用时播放；清晰指法说明；相关查询链接</x:v>
      </x:c>
    </x:row>
    <x:row r="30" ht="44" customHeight="1">
      <x:c r="A30" s="22" t="str">
        <x:v>K0188</x:v>
      </x:c>
      <x:c r="B30" s="22" t="str">
        <x:v>a flat piano chord</x:v>
      </x:c>
      <x:c r="C30" s="22" t="n">
        <x:v>1000</x:v>
      </x:c>
      <x:c r="D30" s="22" t="str">
        <x:v>同义词合并</x:v>
      </x:c>
      <x:c r="E30" s="22" t="str">
        <x:v>P155</x:v>
      </x:c>
      <x:c r="F30" s="22" t="str">
        <x:v>/chords/a-flat-major</x:v>
      </x:c>
      <x:c r="G30" s="22"/>
      <x:c r="H30" s="22" t="str">
        <x:v>piano_keyword_research_combined.xlsx｜关键词数据!A336:G336</x:v>
      </x:c>
      <x:c r="I30" s="22" t="str">
        <x:v>当前和弦的音名/键位/音程；原位和转位；可用时播放；清晰指法说明；相关查询链接</x:v>
      </x:c>
    </x:row>
    <x:row r="31" ht="44" customHeight="1">
      <x:c r="A31" s="22" t="str">
        <x:v>K0189</x:v>
      </x:c>
      <x:c r="B31" s="22" t="str">
        <x:v>a minor piano chord</x:v>
      </x:c>
      <x:c r="C31" s="22" t="n">
        <x:v>1000</x:v>
      </x:c>
      <x:c r="D31" s="22" t="str">
        <x:v>同义词合并</x:v>
      </x:c>
      <x:c r="E31" s="22" t="str">
        <x:v>P151</x:v>
      </x:c>
      <x:c r="F31" s="22" t="str">
        <x:v>/chords/a-minor</x:v>
      </x:c>
      <x:c r="G31" s="22"/>
      <x:c r="H31" s="22" t="str">
        <x:v>piano_keyword_research_combined.xlsx｜关键词数据!A337:G337</x:v>
      </x:c>
      <x:c r="I31" s="22" t="str">
        <x:v>当前和弦的音名/键位/音程；原位和转位；可用时播放；清晰指法说明；相关查询链接</x:v>
      </x:c>
    </x:row>
    <x:row r="32" ht="44" customHeight="1">
      <x:c r="A32" s="22" t="str">
        <x:v>K0196</x:v>
      </x:c>
      <x:c r="B32" s="22" t="str">
        <x:v>chords in g major scale piano</x:v>
      </x:c>
      <x:c r="C32" s="22" t="n">
        <x:v>1000</x:v>
      </x:c>
      <x:c r="D32" s="22" t="str">
        <x:v>页面代表词</x:v>
      </x:c>
      <x:c r="E32" s="22" t="str">
        <x:v>P156</x:v>
      </x:c>
      <x:c r="F32" s="22" t="str">
        <x:v>/chords/by-key</x:v>
      </x:c>
      <x:c r="G32" s="22" t="str">
        <x:v>g-major</x:v>
      </x:c>
      <x:c r="H32" s="22" t="str">
        <x:v>piano_keyword_research_combined.xlsx｜关键词数据!A49:G49</x:v>
      </x:c>
      <x:c r="I32" s="22" t="str">
        <x:v>查G大调各级和弦；必须在该页提供实际结果，不只增加一个关键词。</x:v>
      </x:c>
    </x:row>
    <x:row r="33" ht="44" customHeight="1">
      <x:c r="A33" s="22" t="str">
        <x:v>K0197</x:v>
      </x:c>
      <x:c r="B33" s="22" t="str">
        <x:v>chords of a major key</x:v>
      </x:c>
      <x:c r="C33" s="22" t="n">
        <x:v>1000</x:v>
      </x:c>
      <x:c r="D33" s="22" t="str">
        <x:v>同页补充/条件/问题（非同义）</x:v>
      </x:c>
      <x:c r="E33" s="22" t="str">
        <x:v>P161</x:v>
      </x:c>
      <x:c r="F33" s="22" t="str">
        <x:v>/chords/by-key</x:v>
      </x:c>
      <x:c r="G33" s="22" t="str">
        <x:v>a-major</x:v>
      </x:c>
      <x:c r="H33" s="22" t="str">
        <x:v>piano_keyword_research_combined.xlsx｜关键词数据!A338:G338</x:v>
      </x:c>
      <x:c r="I33" s="22" t="str">
        <x:v>查询A大调和弦集合；必须在该页提供实际结果，不只增加一个关键词。</x:v>
      </x:c>
    </x:row>
    <x:row r="34" ht="44" customHeight="1">
      <x:c r="A34" s="22" t="str">
        <x:v>K0224</x:v>
      </x:c>
      <x:c r="B34" s="22" t="str">
        <x:v>major key chords</x:v>
      </x:c>
      <x:c r="C34" s="22" t="n">
        <x:v>1000</x:v>
      </x:c>
      <x:c r="D34" s="22" t="str">
        <x:v>同义词合并</x:v>
      </x:c>
      <x:c r="E34" s="22" t="str">
        <x:v>P152</x:v>
      </x:c>
      <x:c r="F34" s="22" t="str">
        <x:v>/chords/by-key</x:v>
      </x:c>
      <x:c r="G34" s="22"/>
      <x:c r="H34" s="22" t="str">
        <x:v>piano_keyword_research_combined.xlsx｜关键词数据!A339:G339</x:v>
      </x:c>
      <x:c r="I34" s="22" t="str">
        <x:v>有内容的调性选择器与各级和弦表；支持已有G/D/C/E/A/F及D minor任务</x:v>
      </x:c>
    </x:row>
    <x:row r="35" ht="44" customHeight="1">
      <x:c r="A35" s="22" t="str">
        <x:v>K0238</x:v>
      </x:c>
      <x:c r="B35" s="22" t="str">
        <x:v>piano chords and progressions</x:v>
      </x:c>
      <x:c r="C35" s="22" t="n">
        <x:v>1000</x:v>
      </x:c>
      <x:c r="D35" s="22" t="str">
        <x:v>同义词合并</x:v>
      </x:c>
      <x:c r="E35" s="22" t="str">
        <x:v>P173</x:v>
      </x:c>
      <x:c r="F35" s="22" t="str">
        <x:v>/chord-progressions</x:v>
      </x:c>
      <x:c r="G35" s="22"/>
      <x:c r="H35" s="22" t="str">
        <x:v>piano_keyword_research_combined.xlsx｜关键词数据!A342:G342</x:v>
      </x:c>
      <x:c r="I35" s="22" t="str">
        <x:v>常见走向列表；C/E/A调转写选择；优美/愉快效果标签；含义与使用说明；打印</x:v>
      </x:c>
    </x:row>
    <x:row r="36" ht="44" customHeight="1">
      <x:c r="A36" s="22" t="str">
        <x:v>K0260</x:v>
      </x:c>
      <x:c r="B36" s="22" t="str">
        <x:v>a major key chords</x:v>
      </x:c>
      <x:c r="C36" s="22" t="n">
        <x:v>880</x:v>
      </x:c>
      <x:c r="D36" s="22" t="str">
        <x:v>同页补充/条件/问题（非同义）</x:v>
      </x:c>
      <x:c r="E36" s="22" t="str">
        <x:v>P161</x:v>
      </x:c>
      <x:c r="F36" s="22" t="str">
        <x:v>/chords/by-key</x:v>
      </x:c>
      <x:c r="G36" s="22" t="str">
        <x:v>a-major</x:v>
      </x:c>
      <x:c r="H36" s="22" t="str">
        <x:v>piano_keyword_research_combined.xlsx｜关键词数据!A346:G346</x:v>
      </x:c>
      <x:c r="I36" s="22" t="str">
        <x:v>查询A大调和弦集合；必须在该页提供实际结果，不只增加一个关键词。</x:v>
      </x:c>
    </x:row>
    <x:row r="37" ht="44" customHeight="1">
      <x:c r="A37" s="22" t="str">
        <x:v>K0266</x:v>
      </x:c>
      <x:c r="B37" s="22" t="str">
        <x:v>chord progressions piano</x:v>
      </x:c>
      <x:c r="C37" s="22" t="n">
        <x:v>880</x:v>
      </x:c>
      <x:c r="D37" s="22" t="str">
        <x:v>同义词合并</x:v>
      </x:c>
      <x:c r="E37" s="22" t="str">
        <x:v>P173</x:v>
      </x:c>
      <x:c r="F37" s="22" t="str">
        <x:v>/chord-progressions</x:v>
      </x:c>
      <x:c r="G37" s="22"/>
      <x:c r="H37" s="22" t="str">
        <x:v>piano_keyword_research_combined.xlsx｜关键词数据!A348:G348</x:v>
      </x:c>
      <x:c r="I37" s="22" t="str">
        <x:v>常见走向列表；C/E/A调转写选择；优美/愉快效果标签；含义与使用说明；打印</x:v>
      </x:c>
    </x:row>
    <x:row r="38" ht="44" customHeight="1">
      <x:c r="A38" s="22" t="str">
        <x:v>K0267</x:v>
      </x:c>
      <x:c r="B38" s="22" t="str">
        <x:v>chords in the key of a major</x:v>
      </x:c>
      <x:c r="C38" s="22" t="n">
        <x:v>880</x:v>
      </x:c>
      <x:c r="D38" s="22" t="str">
        <x:v>同页补充/条件/问题（非同义）</x:v>
      </x:c>
      <x:c r="E38" s="22" t="str">
        <x:v>P161</x:v>
      </x:c>
      <x:c r="F38" s="22" t="str">
        <x:v>/chords/by-key</x:v>
      </x:c>
      <x:c r="G38" s="22" t="str">
        <x:v>a-major</x:v>
      </x:c>
      <x:c r="H38" s="22" t="str">
        <x:v>piano_keyword_research_combined.xlsx｜关键词数据!A349:G349</x:v>
      </x:c>
      <x:c r="I38" s="22" t="str">
        <x:v>查询A大调和弦集合；必须在该页提供实际结果，不只增加一个关键词。</x:v>
      </x:c>
    </x:row>
    <x:row r="39" ht="44" customHeight="1">
      <x:c r="A39" s="22" t="str">
        <x:v>K0268</x:v>
      </x:c>
      <x:c r="B39" s="22" t="str">
        <x:v>d major scale piano chords</x:v>
      </x:c>
      <x:c r="C39" s="22" t="n">
        <x:v>880</x:v>
      </x:c>
      <x:c r="D39" s="22" t="str">
        <x:v>页面代表词</x:v>
      </x:c>
      <x:c r="E39" s="22" t="str">
        <x:v>P157</x:v>
      </x:c>
      <x:c r="F39" s="22" t="str">
        <x:v>/chords/by-key</x:v>
      </x:c>
      <x:c r="G39" s="22" t="str">
        <x:v>d-major</x:v>
      </x:c>
      <x:c r="H39" s="22" t="str">
        <x:v>piano_keyword_research_combined.xlsx｜关键词数据!A74:G74</x:v>
      </x:c>
      <x:c r="I39" s="22" t="str">
        <x:v>查D大调各级和弦；必须在该页提供实际结果，不只增加一个关键词。</x:v>
      </x:c>
    </x:row>
    <x:row r="40" ht="44" customHeight="1">
      <x:c r="A40" s="22" t="str">
        <x:v>K0275</x:v>
      </x:c>
      <x:c r="B40" s="22" t="str">
        <x:v>easy piano chords</x:v>
      </x:c>
      <x:c r="C40" s="22" t="n">
        <x:v>880</x:v>
      </x:c>
      <x:c r="D40" s="22" t="str">
        <x:v>同义词合并</x:v>
      </x:c>
      <x:c r="E40" s="22" t="str">
        <x:v>P225</x:v>
      </x:c>
      <x:c r="F40" s="22" t="str">
        <x:v>/guide/piano-chords</x:v>
      </x:c>
      <x:c r="G40" s="22" t="str">
        <x:v>beginner</x:v>
      </x:c>
      <x:c r="H40" s="22" t="str">
        <x:v>piano_keyword_research_combined.xlsx｜关键词数据!A351:G351</x:v>
      </x:c>
      <x:c r="I40" s="22" t="str">
        <x:v>初学钢琴基础和弦选择与弹法；必须在该页提供实际结果，不只增加一个关键词。</x:v>
      </x:c>
    </x:row>
    <x:row r="41" ht="44" customHeight="1">
      <x:c r="A41" s="22" t="str">
        <x:v>K0288</x:v>
      </x:c>
      <x:c r="B41" s="22" t="str">
        <x:v>g major scale piano chords</x:v>
      </x:c>
      <x:c r="C41" s="22" t="n">
        <x:v>880</x:v>
      </x:c>
      <x:c r="D41" s="22" t="str">
        <x:v>同义词合并</x:v>
      </x:c>
      <x:c r="E41" s="22" t="str">
        <x:v>P156</x:v>
      </x:c>
      <x:c r="F41" s="22" t="str">
        <x:v>/chords/by-key</x:v>
      </x:c>
      <x:c r="G41" s="22" t="str">
        <x:v>g-major</x:v>
      </x:c>
      <x:c r="H41" s="22" t="str">
        <x:v>piano_keyword_research_combined.xlsx｜关键词数据!A83:G83</x:v>
      </x:c>
      <x:c r="I41" s="22" t="str">
        <x:v>查G大调各级和弦；必须在该页提供实际结果，不只增加一个关键词。</x:v>
      </x:c>
    </x:row>
    <x:row r="42" ht="44" customHeight="1">
      <x:c r="A42" s="22" t="str">
        <x:v>K0294</x:v>
      </x:c>
      <x:c r="B42" s="22" t="str">
        <x:v>major chords piano</x:v>
      </x:c>
      <x:c r="C42" s="22" t="n">
        <x:v>880</x:v>
      </x:c>
      <x:c r="D42" s="22" t="str">
        <x:v>页面代表词</x:v>
      </x:c>
      <x:c r="E42" s="22" t="str">
        <x:v>P158</x:v>
      </x:c>
      <x:c r="F42" s="22" t="str">
        <x:v>/chords</x:v>
      </x:c>
      <x:c r="G42" s="22" t="str">
        <x:v>major</x:v>
      </x:c>
      <x:c r="H42" s="22" t="str">
        <x:v>piano_keyword_research_combined.xlsx｜关键词数据!A352:G352</x:v>
      </x:c>
      <x:c r="I42" s="22" t="str">
        <x:v>major 选择后显示经过核对的实际和弦结果。</x:v>
      </x:c>
    </x:row>
    <x:row r="43" ht="44" customHeight="1">
      <x:c r="A43" s="22" t="str">
        <x:v>K0318</x:v>
      </x:c>
      <x:c r="B43" s="22" t="str">
        <x:v>popular chord progressions</x:v>
      </x:c>
      <x:c r="C43" s="22" t="n">
        <x:v>880</x:v>
      </x:c>
      <x:c r="D43" s="22" t="str">
        <x:v>同义词合并</x:v>
      </x:c>
      <x:c r="E43" s="22" t="str">
        <x:v>P172</x:v>
      </x:c>
      <x:c r="F43" s="22" t="str">
        <x:v>/chord-progressions</x:v>
      </x:c>
      <x:c r="G43" s="22" t="str">
        <x:v>common</x:v>
      </x:c>
      <x:c r="H43" s="22" t="str">
        <x:v>piano_keyword_research_combined.xlsx｜关键词数据!A355:G355</x:v>
      </x:c>
      <x:c r="I43" s="22" t="str">
        <x:v>常见和弦走向集合；必须在该页提供实际结果，不只增加一个关键词。</x:v>
      </x:c>
    </x:row>
    <x:row r="44" ht="44" customHeight="1">
      <x:c r="A44" s="22" t="str">
        <x:v>K0334</x:v>
      </x:c>
      <x:c r="B44" s="22" t="str">
        <x:v>a major piano chord</x:v>
      </x:c>
      <x:c r="C44" s="22" t="n">
        <x:v>720</x:v>
      </x:c>
      <x:c r="D44" s="22" t="str">
        <x:v>同义词合并</x:v>
      </x:c>
      <x:c r="E44" s="22" t="str">
        <x:v>P149</x:v>
      </x:c>
      <x:c r="F44" s="22" t="str">
        <x:v>/chords/a-major</x:v>
      </x:c>
      <x:c r="G44" s="22"/>
      <x:c r="H44" s="22" t="str">
        <x:v>piano_keyword_research_combined.xlsx｜关键词数据!A356:G356</x:v>
      </x:c>
      <x:c r="I44" s="22" t="str">
        <x:v>当前和弦的音名/键位/音程；原位和转位；可用时播放；清晰指法说明；相关查询链接</x:v>
      </x:c>
    </x:row>
    <x:row r="45" ht="44" customHeight="1">
      <x:c r="A45" s="22" t="str">
        <x:v>K0335</x:v>
      </x:c>
      <x:c r="B45" s="22" t="str">
        <x:v>a major scale chords</x:v>
      </x:c>
      <x:c r="C45" s="22" t="n">
        <x:v>720</x:v>
      </x:c>
      <x:c r="D45" s="22" t="str">
        <x:v>同页补充/条件/问题（非同义）</x:v>
      </x:c>
      <x:c r="E45" s="22" t="str">
        <x:v>P161</x:v>
      </x:c>
      <x:c r="F45" s="22" t="str">
        <x:v>/chords/by-key</x:v>
      </x:c>
      <x:c r="G45" s="22" t="str">
        <x:v>a-major</x:v>
      </x:c>
      <x:c r="H45" s="22" t="str">
        <x:v>piano_keyword_research_combined.xlsx｜关键词数据!A98:G98</x:v>
      </x:c>
      <x:c r="I45" s="22" t="str">
        <x:v>查询A大调和弦集合；必须在该页提供实际结果，不只增加一个关键词。</x:v>
      </x:c>
    </x:row>
    <x:row r="46" ht="44" customHeight="1">
      <x:c r="A46" s="22" t="str">
        <x:v>K0343</x:v>
      </x:c>
      <x:c r="B46" s="22" t="str">
        <x:v>c major scale chords piano</x:v>
      </x:c>
      <x:c r="C46" s="22" t="n">
        <x:v>720</x:v>
      </x:c>
      <x:c r="D46" s="22" t="str">
        <x:v>页面代表词</x:v>
      </x:c>
      <x:c r="E46" s="22" t="str">
        <x:v>P159</x:v>
      </x:c>
      <x:c r="F46" s="22" t="str">
        <x:v>/chords/by-key</x:v>
      </x:c>
      <x:c r="G46" s="22" t="str">
        <x:v>c-major</x:v>
      </x:c>
      <x:c r="H46" s="22" t="str">
        <x:v>piano_keyword_research_combined.xlsx｜关键词数据!A102:G102</x:v>
      </x:c>
      <x:c r="I46" s="22" t="str">
        <x:v>查C大调各级和弦；必须在该页提供实际结果，不只增加一个关键词。</x:v>
      </x:c>
    </x:row>
    <x:row r="47" ht="44" customHeight="1">
      <x:c r="A47" s="22" t="str">
        <x:v>K0345</x:v>
      </x:c>
      <x:c r="B47" s="22" t="str">
        <x:v>chord sequences</x:v>
      </x:c>
      <x:c r="C47" s="22" t="n">
        <x:v>720</x:v>
      </x:c>
      <x:c r="D47" s="22" t="str">
        <x:v>同页补充/条件/问题（非同义）</x:v>
      </x:c>
      <x:c r="E47" s="22" t="str">
        <x:v>P173</x:v>
      </x:c>
      <x:c r="F47" s="22" t="str">
        <x:v>/chord-progressions</x:v>
      </x:c>
      <x:c r="G47" s="22"/>
      <x:c r="H47" s="22" t="str">
        <x:v>piano_keyword_research_combined.xlsx｜关键词数据!A359:G359</x:v>
      </x:c>
      <x:c r="I47" s="22" t="str">
        <x:v>常见走向列表；C/E/A调转写选择；优美/愉快效果标签；含义与使用说明；打印</x:v>
      </x:c>
    </x:row>
    <x:row r="48" ht="44" customHeight="1">
      <x:c r="A48" s="22" t="str">
        <x:v>K0346</x:v>
      </x:c>
      <x:c r="B48" s="22" t="str">
        <x:v>chords for the key of a</x:v>
      </x:c>
      <x:c r="C48" s="22" t="n">
        <x:v>720</x:v>
      </x:c>
      <x:c r="D48" s="22" t="str">
        <x:v>同页补充/条件/问题（非同义）</x:v>
      </x:c>
      <x:c r="E48" s="22" t="str">
        <x:v>P161</x:v>
      </x:c>
      <x:c r="F48" s="22" t="str">
        <x:v>/chords/by-key</x:v>
      </x:c>
      <x:c r="G48" s="22" t="str">
        <x:v>a-major</x:v>
      </x:c>
      <x:c r="H48" s="22" t="str">
        <x:v>piano_keyword_research_combined.xlsx｜关键词数据!A361:G361</x:v>
      </x:c>
      <x:c r="I48" s="22" t="str">
        <x:v>查询A大调和弦集合；必须在该页提供实际结果，不只增加一个关键词。</x:v>
      </x:c>
    </x:row>
    <x:row r="49" ht="44" customHeight="1">
      <x:c r="A49" s="22" t="str">
        <x:v>K0347</x:v>
      </x:c>
      <x:c r="B49" s="22" t="str">
        <x:v>chords key a</x:v>
      </x:c>
      <x:c r="C49" s="22" t="n">
        <x:v>720</x:v>
      </x:c>
      <x:c r="D49" s="22" t="str">
        <x:v>同页补充/条件/问题（非同义）</x:v>
      </x:c>
      <x:c r="E49" s="22" t="str">
        <x:v>P161</x:v>
      </x:c>
      <x:c r="F49" s="22" t="str">
        <x:v>/chords/by-key</x:v>
      </x:c>
      <x:c r="G49" s="22" t="str">
        <x:v>a-major</x:v>
      </x:c>
      <x:c r="H49" s="22" t="str">
        <x:v>piano_keyword_research_combined.xlsx｜关键词数据!A362:G362</x:v>
      </x:c>
      <x:c r="I49" s="22" t="str">
        <x:v>查询A大调和弦集合；必须在该页提供实际结果，不只增加一个关键词。</x:v>
      </x:c>
    </x:row>
    <x:row r="50" ht="44" customHeight="1">
      <x:c r="A50" s="22" t="str">
        <x:v>K0380</x:v>
      </x:c>
      <x:c r="B50" s="22" t="str">
        <x:v>key of a chords</x:v>
      </x:c>
      <x:c r="C50" s="22" t="n">
        <x:v>720</x:v>
      </x:c>
      <x:c r="D50" s="22" t="str">
        <x:v>同页补充/条件/问题（非同义）</x:v>
      </x:c>
      <x:c r="E50" s="22" t="str">
        <x:v>P161</x:v>
      </x:c>
      <x:c r="F50" s="22" t="str">
        <x:v>/chords/by-key</x:v>
      </x:c>
      <x:c r="G50" s="22" t="str">
        <x:v>a-major</x:v>
      </x:c>
      <x:c r="H50" s="22" t="str">
        <x:v>piano_keyword_research_combined.xlsx｜关键词数据!A363:G363</x:v>
      </x:c>
      <x:c r="I50" s="22" t="str">
        <x:v>查询A大调和弦集合；必须在该页提供实际结果，不只增加一个关键词。</x:v>
      </x:c>
    </x:row>
    <x:row r="51" ht="44" customHeight="1">
      <x:c r="A51" s="22" t="str">
        <x:v>K0388</x:v>
      </x:c>
      <x:c r="B51" s="22" t="str">
        <x:v>minor chords on the piano</x:v>
      </x:c>
      <x:c r="C51" s="22" t="n">
        <x:v>720</x:v>
      </x:c>
      <x:c r="D51" s="22" t="str">
        <x:v>同义词合并</x:v>
      </x:c>
      <x:c r="E51" s="22" t="str">
        <x:v>P154</x:v>
      </x:c>
      <x:c r="F51" s="22" t="str">
        <x:v>/chords</x:v>
      </x:c>
      <x:c r="G51" s="22" t="str">
        <x:v>minor</x:v>
      </x:c>
      <x:c r="H51" s="22" t="str">
        <x:v>piano_keyword_research_combined.xlsx｜关键词数据!A364:G364</x:v>
      </x:c>
      <x:c r="I51" s="22" t="str">
        <x:v>minor 选择后显示经过核对的实际和弦结果。</x:v>
      </x:c>
    </x:row>
    <x:row r="52" ht="44" customHeight="1">
      <x:c r="A52" s="22" t="str">
        <x:v>K0390</x:v>
      </x:c>
      <x:c r="B52" s="22" t="str">
        <x:v>most common chord progressions</x:v>
      </x:c>
      <x:c r="C52" s="22" t="n">
        <x:v>720</x:v>
      </x:c>
      <x:c r="D52" s="22" t="str">
        <x:v>同义词合并</x:v>
      </x:c>
      <x:c r="E52" s="22" t="str">
        <x:v>P172</x:v>
      </x:c>
      <x:c r="F52" s="22" t="str">
        <x:v>/chord-progressions</x:v>
      </x:c>
      <x:c r="G52" s="22" t="str">
        <x:v>common</x:v>
      </x:c>
      <x:c r="H52" s="22" t="str">
        <x:v>piano_keyword_research_combined.xlsx｜关键词数据!A365:G365</x:v>
      </x:c>
      <x:c r="I52" s="22" t="str">
        <x:v>常见和弦走向集合；必须在该页提供实际结果，不只增加一个关键词。</x:v>
      </x:c>
    </x:row>
    <x:row r="53" ht="44" customHeight="1">
      <x:c r="A53" s="22" t="str">
        <x:v>K0402</x:v>
      </x:c>
      <x:c r="B53" s="22" t="str">
        <x:v>piano chord sequences</x:v>
      </x:c>
      <x:c r="C53" s="22" t="n">
        <x:v>720</x:v>
      </x:c>
      <x:c r="D53" s="22" t="str">
        <x:v>同义词合并</x:v>
      </x:c>
      <x:c r="E53" s="22" t="str">
        <x:v>P173</x:v>
      </x:c>
      <x:c r="F53" s="22" t="str">
        <x:v>/chord-progressions</x:v>
      </x:c>
      <x:c r="G53" s="22"/>
      <x:c r="H53" s="22" t="str">
        <x:v>piano_keyword_research_combined.xlsx｜关键词数据!A368:G368</x:v>
      </x:c>
      <x:c r="I53" s="22" t="str">
        <x:v>常见走向列表；C/E/A调转写选择；优美/愉快效果标签；含义与使用说明；打印</x:v>
      </x:c>
    </x:row>
    <x:row r="54" ht="44" customHeight="1">
      <x:c r="A54" s="22" t="str">
        <x:v>K0403</x:v>
      </x:c>
      <x:c r="B54" s="22" t="str">
        <x:v>piano chords in e</x:v>
      </x:c>
      <x:c r="C54" s="22" t="n">
        <x:v>720</x:v>
      </x:c>
      <x:c r="D54" s="22" t="str">
        <x:v>页面代表词</x:v>
      </x:c>
      <x:c r="E54" s="22" t="str">
        <x:v>P160</x:v>
      </x:c>
      <x:c r="F54" s="22" t="str">
        <x:v>/chords/by-key</x:v>
      </x:c>
      <x:c r="G54" s="22" t="str">
        <x:v>e-major</x:v>
      </x:c>
      <x:c r="H54" s="22" t="str">
        <x:v>piano_keyword_research_combined.xlsx｜关键词数据!A369:G369</x:v>
      </x:c>
      <x:c r="I54" s="22" t="str">
        <x:v>查E大调各级和弦；必须在该页提供实际结果，不只增加一个关键词。</x:v>
      </x:c>
    </x:row>
    <x:row r="55" ht="44" customHeight="1">
      <x:c r="A55" s="22" t="str">
        <x:v>K0404</x:v>
      </x:c>
      <x:c r="B55" s="22" t="str">
        <x:v>piano chords in key of g</x:v>
      </x:c>
      <x:c r="C55" s="22" t="n">
        <x:v>720</x:v>
      </x:c>
      <x:c r="D55" s="22" t="str">
        <x:v>同义词合并</x:v>
      </x:c>
      <x:c r="E55" s="22" t="str">
        <x:v>P156</x:v>
      </x:c>
      <x:c r="F55" s="22" t="str">
        <x:v>/chords/by-key</x:v>
      </x:c>
      <x:c r="G55" s="22" t="str">
        <x:v>g-major</x:v>
      </x:c>
      <x:c r="H55" s="22" t="str">
        <x:v>piano_keyword_research_combined.xlsx｜关键词数据!A370:G370</x:v>
      </x:c>
      <x:c r="I55" s="22" t="str">
        <x:v>查G大调各级和弦；必须在该页提供实际结果，不只增加一个关键词。</x:v>
      </x:c>
    </x:row>
    <x:row r="56" ht="44" customHeight="1">
      <x:c r="A56" s="22" t="str">
        <x:v>K0413</x:v>
      </x:c>
      <x:c r="B56" s="22" t="str">
        <x:v>piano progressions</x:v>
      </x:c>
      <x:c r="C56" s="22" t="n">
        <x:v>720</x:v>
      </x:c>
      <x:c r="D56" s="22" t="str">
        <x:v>同义词合并</x:v>
      </x:c>
      <x:c r="E56" s="22" t="str">
        <x:v>P173</x:v>
      </x:c>
      <x:c r="F56" s="22" t="str">
        <x:v>/chord-progressions</x:v>
      </x:c>
      <x:c r="G56" s="22"/>
      <x:c r="H56" s="22" t="str">
        <x:v>piano_keyword_research_combined.xlsx｜关键词数据!A371:G371</x:v>
      </x:c>
      <x:c r="I56" s="22" t="str">
        <x:v>常见走向列表；C/E/A调转写选择；优美/愉快效果标签；含义与使用说明；打印</x:v>
      </x:c>
    </x:row>
    <x:row r="57" ht="44" customHeight="1">
      <x:c r="A57" s="22" t="str">
        <x:v>K0430</x:v>
      </x:c>
      <x:c r="B57" s="22" t="str">
        <x:v>a chord on piano</x:v>
      </x:c>
      <x:c r="C57" s="22" t="n">
        <x:v>590</x:v>
      </x:c>
      <x:c r="D57" s="22" t="str">
        <x:v>同义词合并</x:v>
      </x:c>
      <x:c r="E57" s="22" t="str">
        <x:v>P149</x:v>
      </x:c>
      <x:c r="F57" s="22" t="str">
        <x:v>/chords/a-major</x:v>
      </x:c>
      <x:c r="G57" s="22"/>
      <x:c r="H57" s="22" t="str">
        <x:v>piano_keyword_research_combined.xlsx｜关键词数据!A373:G373</x:v>
      </x:c>
      <x:c r="I57" s="22" t="str">
        <x:v>当前和弦的音名/键位/音程；原位和转位；可用时播放；清晰指法说明；相关查询链接</x:v>
      </x:c>
    </x:row>
    <x:row r="58" ht="44" customHeight="1">
      <x:c r="A58" s="22" t="str">
        <x:v>K0433</x:v>
      </x:c>
      <x:c r="B58" s="22" t="str">
        <x:v>all chords on a piano</x:v>
      </x:c>
      <x:c r="C58" s="22" t="n">
        <x:v>590</x:v>
      </x:c>
      <x:c r="D58" s="22" t="str">
        <x:v>同义词合并</x:v>
      </x:c>
      <x:c r="E58" s="22" t="str">
        <x:v>P148</x:v>
      </x:c>
      <x:c r="F58" s="22" t="str">
        <x:v>/chords</x:v>
      </x:c>
      <x:c r="G58" s="22"/>
      <x:c r="H58" s="22" t="str">
        <x:v>piano_keyword_research_combined.xlsx｜关键词数据!A374:G374</x:v>
      </x:c>
      <x:c r="I58" s="22" t="str">
        <x:v>默认有图表；根音/类型选择、试听、打印及读图说明。</x:v>
      </x:c>
    </x:row>
    <x:row r="59" ht="44" customHeight="1">
      <x:c r="A59" s="22" t="str">
        <x:v>K0434</x:v>
      </x:c>
      <x:c r="B59" s="22" t="str">
        <x:v>b chord on piano</x:v>
      </x:c>
      <x:c r="C59" s="22" t="n">
        <x:v>590</x:v>
      </x:c>
      <x:c r="D59" s="22" t="str">
        <x:v>同义词合并</x:v>
      </x:c>
      <x:c r="E59" s="22" t="str">
        <x:v>P150</x:v>
      </x:c>
      <x:c r="F59" s="22" t="str">
        <x:v>/chords/b-major</x:v>
      </x:c>
      <x:c r="G59" s="22"/>
      <x:c r="H59" s="22" t="str">
        <x:v>piano_keyword_research_combined.xlsx｜关键词数据!A375:G375</x:v>
      </x:c>
      <x:c r="I59" s="22" t="str">
        <x:v>当前和弦的音名/键位/音程；原位和转位；可用时播放；清晰指法说明；相关查询链接</x:v>
      </x:c>
    </x:row>
    <x:row r="60" ht="44" customHeight="1">
      <x:c r="A60" s="22" t="str">
        <x:v>K0444</x:v>
      </x:c>
      <x:c r="B60" s="22" t="str">
        <x:v>c major chord progressions</x:v>
      </x:c>
      <x:c r="C60" s="22" t="n">
        <x:v>590</x:v>
      </x:c>
      <x:c r="D60" s="22" t="str">
        <x:v>页面代表词</x:v>
      </x:c>
      <x:c r="E60" s="22" t="str">
        <x:v>P174</x:v>
      </x:c>
      <x:c r="F60" s="22" t="str">
        <x:v>/chord-progressions</x:v>
      </x:c>
      <x:c r="G60" s="22" t="str">
        <x:v>c-major</x:v>
      </x:c>
      <x:c r="H60" s="22" t="str">
        <x:v>piano_keyword_research_combined.xlsx｜关键词数据!A377:G377</x:v>
      </x:c>
      <x:c r="I60" s="22" t="str">
        <x:v>C大调和弦走向；必须在该页提供实际结果，不只增加一个关键词。</x:v>
      </x:c>
    </x:row>
    <x:row r="61" ht="44" customHeight="1">
      <x:c r="A61" s="22" t="str">
        <x:v>K0447</x:v>
      </x:c>
      <x:c r="B61" s="22" t="str">
        <x:v>chord patterns piano</x:v>
      </x:c>
      <x:c r="C61" s="22" t="n">
        <x:v>590</x:v>
      </x:c>
      <x:c r="D61" s="22" t="str">
        <x:v>同义词合并</x:v>
      </x:c>
      <x:c r="E61" s="22" t="str">
        <x:v>P173</x:v>
      </x:c>
      <x:c r="F61" s="22" t="str">
        <x:v>/chord-progressions</x:v>
      </x:c>
      <x:c r="G61" s="22"/>
      <x:c r="H61" s="22" t="str">
        <x:v>piano_keyword_research_combined.xlsx｜关键词数据!A378:G378</x:v>
      </x:c>
      <x:c r="I61" s="22" t="str">
        <x:v>常见走向列表；C/E/A调转写选择；优美/愉快效果标签；含义与使用说明；打印</x:v>
      </x:c>
    </x:row>
    <x:row r="62" ht="44" customHeight="1">
      <x:c r="A62" s="22" t="str">
        <x:v>K0448</x:v>
      </x:c>
      <x:c r="B62" s="22" t="str">
        <x:v>chords in a key</x:v>
      </x:c>
      <x:c r="C62" s="22" t="n">
        <x:v>590</x:v>
      </x:c>
      <x:c r="D62" s="22" t="str">
        <x:v>同义词合并</x:v>
      </x:c>
      <x:c r="E62" s="22" t="str">
        <x:v>P152</x:v>
      </x:c>
      <x:c r="F62" s="22" t="str">
        <x:v>/chords/by-key</x:v>
      </x:c>
      <x:c r="G62" s="22"/>
      <x:c r="H62" s="22" t="str">
        <x:v>piano_keyword_research_combined.xlsx｜关键词数据!A379:G379</x:v>
      </x:c>
      <x:c r="I62" s="22" t="str">
        <x:v>有内容的调性选择器与各级和弦表；支持已有G/D/C/E/A/F及D minor任务</x:v>
      </x:c>
    </x:row>
    <x:row r="63" ht="44" customHeight="1">
      <x:c r="A63" s="22" t="str">
        <x:v>K0450</x:v>
      </x:c>
      <x:c r="B63" s="22" t="str">
        <x:v>common chord progressions key of e</x:v>
      </x:c>
      <x:c r="C63" s="22" t="n">
        <x:v>590</x:v>
      </x:c>
      <x:c r="D63" s="22" t="str">
        <x:v>页面代表词</x:v>
      </x:c>
      <x:c r="E63" s="22" t="str">
        <x:v>P175</x:v>
      </x:c>
      <x:c r="F63" s="22" t="str">
        <x:v>/chord-progressions</x:v>
      </x:c>
      <x:c r="G63" s="22" t="str">
        <x:v>e-major</x:v>
      </x:c>
      <x:c r="H63" s="22" t="str">
        <x:v>piano_keyword_research_combined.xlsx｜关键词数据!A380:G380</x:v>
      </x:c>
      <x:c r="I63" s="22" t="str">
        <x:v>E调常用和弦走向；必须在该页提供实际结果，不只增加一个关键词。</x:v>
      </x:c>
    </x:row>
    <x:row r="64" ht="44" customHeight="1">
      <x:c r="A64" s="22" t="str">
        <x:v>K0470</x:v>
      </x:c>
      <x:c r="B64" s="22" t="str">
        <x:v>famous chord progressions</x:v>
      </x:c>
      <x:c r="C64" s="22" t="n">
        <x:v>590</x:v>
      </x:c>
      <x:c r="D64" s="22" t="str">
        <x:v>同义词合并</x:v>
      </x:c>
      <x:c r="E64" s="22" t="str">
        <x:v>P172</x:v>
      </x:c>
      <x:c r="F64" s="22" t="str">
        <x:v>/chord-progressions</x:v>
      </x:c>
      <x:c r="G64" s="22" t="str">
        <x:v>common</x:v>
      </x:c>
      <x:c r="H64" s="22" t="str">
        <x:v>piano_keyword_research_combined.xlsx｜关键词数据!A381:G381</x:v>
      </x:c>
      <x:c r="I64" s="22" t="str">
        <x:v>常见和弦走向集合；必须在该页提供实际结果，不只增加一个关键词。</x:v>
      </x:c>
    </x:row>
    <x:row r="65" ht="44" customHeight="1">
      <x:c r="A65" s="22" t="str">
        <x:v>K0491</x:v>
      </x:c>
      <x:c r="B65" s="22" t="str">
        <x:v>key of g piano chords</x:v>
      </x:c>
      <x:c r="C65" s="22" t="n">
        <x:v>590</x:v>
      </x:c>
      <x:c r="D65" s="22" t="str">
        <x:v>同义词合并</x:v>
      </x:c>
      <x:c r="E65" s="22" t="str">
        <x:v>P156</x:v>
      </x:c>
      <x:c r="F65" s="22" t="str">
        <x:v>/chords/by-key</x:v>
      </x:c>
      <x:c r="G65" s="22" t="str">
        <x:v>g-major</x:v>
      </x:c>
      <x:c r="H65" s="22" t="str">
        <x:v>piano_keyword_research_combined.xlsx｜关键词数据!A661:G661</x:v>
      </x:c>
      <x:c r="I65" s="22" t="str">
        <x:v>查G大调各级和弦；必须在该页提供实际结果，不只增加一个关键词。</x:v>
      </x:c>
    </x:row>
    <x:row r="66" ht="44" customHeight="1">
      <x:c r="A66" s="22" t="str">
        <x:v>K0493</x:v>
      </x:c>
      <x:c r="B66" s="22" t="str">
        <x:v>keyboard chords</x:v>
      </x:c>
      <x:c r="C66" s="22" t="n">
        <x:v>590</x:v>
      </x:c>
      <x:c r="D66" s="22" t="str">
        <x:v>同义词合并</x:v>
      </x:c>
      <x:c r="E66" s="22" t="str">
        <x:v>P148</x:v>
      </x:c>
      <x:c r="F66" s="22" t="str">
        <x:v>/chords</x:v>
      </x:c>
      <x:c r="G66" s="22"/>
      <x:c r="H66" s="22" t="str">
        <x:v>piano_keyword_research_combined.xlsx｜关键词数据!A383:G383</x:v>
      </x:c>
      <x:c r="I66" s="22" t="str">
        <x:v>默认有图表；根音/类型选择、试听、打印及读图说明。</x:v>
      </x:c>
    </x:row>
    <x:row r="67" ht="44" customHeight="1">
      <x:c r="A67" s="22" t="str">
        <x:v>K0521</x:v>
      </x:c>
      <x:c r="B67" s="22" t="str">
        <x:v>piano chords in a</x:v>
      </x:c>
      <x:c r="C67" s="22" t="n">
        <x:v>590</x:v>
      </x:c>
      <x:c r="D67" s="22" t="str">
        <x:v>页面代表词</x:v>
      </x:c>
      <x:c r="E67" s="22" t="str">
        <x:v>P161</x:v>
      </x:c>
      <x:c r="F67" s="22" t="str">
        <x:v>/chords/by-key</x:v>
      </x:c>
      <x:c r="G67" s="22" t="str">
        <x:v>a-major</x:v>
      </x:c>
      <x:c r="H67" s="22" t="str">
        <x:v>piano_keyword_research_combined.xlsx｜关键词数据!A388:G388</x:v>
      </x:c>
      <x:c r="I67" s="22" t="str">
        <x:v>查询A大调和弦集合；必须在该页提供实际结果，不只增加一个关键词。</x:v>
      </x:c>
    </x:row>
    <x:row r="68" ht="44" customHeight="1">
      <x:c r="A68" s="22" t="str">
        <x:v>K0523</x:v>
      </x:c>
      <x:c r="B68" s="22" t="str">
        <x:v>piano e chord</x:v>
      </x:c>
      <x:c r="C68" s="22" t="n">
        <x:v>590</x:v>
      </x:c>
      <x:c r="D68" s="22" t="str">
        <x:v>页面代表词</x:v>
      </x:c>
      <x:c r="E68" s="22" t="str">
        <x:v>P162</x:v>
      </x:c>
      <x:c r="F68" s="22" t="str">
        <x:v>/chords/e-major</x:v>
      </x:c>
      <x:c r="G68" s="22"/>
      <x:c r="H68" s="22" t="str">
        <x:v>piano_keyword_research_combined.xlsx｜关键词数据!A389:G389</x:v>
      </x:c>
      <x:c r="I68" s="22" t="str">
        <x:v>当前和弦的音名/键位/音程；原位和转位；可用时播放；清晰指法说明；相关查询链接</x:v>
      </x:c>
    </x:row>
    <x:row r="69" ht="44" customHeight="1">
      <x:c r="A69" s="22" t="str">
        <x:v>K0567</x:v>
      </x:c>
      <x:c r="B69" s="22" t="str">
        <x:v>ab chord on piano</x:v>
      </x:c>
      <x:c r="C69" s="22" t="n">
        <x:v>480</x:v>
      </x:c>
      <x:c r="D69" s="22" t="str">
        <x:v>同义词合并</x:v>
      </x:c>
      <x:c r="E69" s="22" t="str">
        <x:v>P155</x:v>
      </x:c>
      <x:c r="F69" s="22" t="str">
        <x:v>/chords/a-flat-major</x:v>
      </x:c>
      <x:c r="G69" s="22"/>
      <x:c r="H69" s="22" t="str">
        <x:v>piano_keyword_research_combined.xlsx｜关键词数据!A393:G393</x:v>
      </x:c>
      <x:c r="I69" s="22" t="str">
        <x:v>当前和弦的音名/键位/音程；原位和转位；可用时播放；清晰指法说明；相关查询链接</x:v>
      </x:c>
    </x:row>
    <x:row r="70" ht="44" customHeight="1">
      <x:c r="A70" s="22" t="str">
        <x:v>K0575</x:v>
      </x:c>
      <x:c r="B70" s="22" t="str">
        <x:v>b chord on the piano</x:v>
      </x:c>
      <x:c r="C70" s="22" t="n">
        <x:v>480</x:v>
      </x:c>
      <x:c r="D70" s="22" t="str">
        <x:v>同义词合并</x:v>
      </x:c>
      <x:c r="E70" s="22" t="str">
        <x:v>P150</x:v>
      </x:c>
      <x:c r="F70" s="22" t="str">
        <x:v>/chords/b-major</x:v>
      </x:c>
      <x:c r="G70" s="22"/>
      <x:c r="H70" s="22" t="str">
        <x:v>piano_keyword_research_combined.xlsx｜关键词数据!A396:G396</x:v>
      </x:c>
      <x:c r="I70" s="22" t="str">
        <x:v>当前和弦的音名/键位/音程；原位和转位；可用时播放；清晰指法说明；相关查询链接</x:v>
      </x:c>
    </x:row>
    <x:row r="71" ht="44" customHeight="1">
      <x:c r="A71" s="22" t="str">
        <x:v>K0578</x:v>
      </x:c>
      <x:c r="B71" s="22" t="str">
        <x:v>b major piano chord</x:v>
      </x:c>
      <x:c r="C71" s="22" t="n">
        <x:v>480</x:v>
      </x:c>
      <x:c r="D71" s="22" t="str">
        <x:v>同义词合并</x:v>
      </x:c>
      <x:c r="E71" s="22" t="str">
        <x:v>P150</x:v>
      </x:c>
      <x:c r="F71" s="22" t="str">
        <x:v>/chords/b-major</x:v>
      </x:c>
      <x:c r="G71" s="22"/>
      <x:c r="H71" s="22" t="str">
        <x:v>piano_keyword_research_combined.xlsx｜关键词数据!A397:G397</x:v>
      </x:c>
      <x:c r="I71" s="22" t="str">
        <x:v>当前和弦的音名/键位/音程；原位和转位；可用时播放；清晰指法说明；相关查询链接</x:v>
      </x:c>
    </x:row>
    <x:row r="72" ht="44" customHeight="1">
      <x:c r="A72" s="22" t="str">
        <x:v>K0584</x:v>
      </x:c>
      <x:c r="B72" s="22" t="str">
        <x:v>c chords piano</x:v>
      </x:c>
      <x:c r="C72" s="22" t="n">
        <x:v>480</x:v>
      </x:c>
      <x:c r="D72" s="22" t="str">
        <x:v>页面代表词</x:v>
      </x:c>
      <x:c r="E72" s="22" t="str">
        <x:v>P163</x:v>
      </x:c>
      <x:c r="F72" s="22" t="str">
        <x:v>/chords/c-major</x:v>
      </x:c>
      <x:c r="G72" s="22"/>
      <x:c r="H72" s="22" t="str">
        <x:v>piano_keyword_research_combined.xlsx｜关键词数据!A400:G400</x:v>
      </x:c>
      <x:c r="I72" s="22" t="str">
        <x:v>当前和弦的音名/键位/音程；原位和转位；可用时播放；清晰指法说明；相关查询链接</x:v>
      </x:c>
    </x:row>
    <x:row r="73" ht="44" customHeight="1">
      <x:c r="A73" s="22" t="str">
        <x:v>K0585</x:v>
      </x:c>
      <x:c r="B73" s="22" t="str">
        <x:v>c major scale piano chords</x:v>
      </x:c>
      <x:c r="C73" s="22" t="n">
        <x:v>480</x:v>
      </x:c>
      <x:c r="D73" s="22" t="str">
        <x:v>同义词合并</x:v>
      </x:c>
      <x:c r="E73" s="22" t="str">
        <x:v>P159</x:v>
      </x:c>
      <x:c r="F73" s="22" t="str">
        <x:v>/chords/by-key</x:v>
      </x:c>
      <x:c r="G73" s="22" t="str">
        <x:v>c-major</x:v>
      </x:c>
      <x:c r="H73" s="22" t="str">
        <x:v>piano_keyword_research_combined.xlsx｜关键词数据!A165:G165</x:v>
      </x:c>
      <x:c r="I73" s="22" t="str">
        <x:v>查C大调各级和弦；必须在该页提供实际结果，不只增加一个关键词。</x:v>
      </x:c>
    </x:row>
    <x:row r="74" ht="44" customHeight="1">
      <x:c r="A74" s="22" t="str">
        <x:v>K0586</x:v>
      </x:c>
      <x:c r="B74" s="22" t="str">
        <x:v>chord structure piano</x:v>
      </x:c>
      <x:c r="C74" s="22" t="n">
        <x:v>480</x:v>
      </x:c>
      <x:c r="D74" s="22" t="str">
        <x:v>同页补充/条件/问题（非同义）</x:v>
      </x:c>
      <x:c r="E74" s="22" t="str">
        <x:v>P220</x:v>
      </x:c>
      <x:c r="F74" s="22" t="str">
        <x:v>/guide/piano-chords</x:v>
      </x:c>
      <x:c r="G74" s="22"/>
      <x:c r="H74" s="22" t="str">
        <x:v>piano_keyword_research_combined.xlsx｜关键词数据!A402:G402</x:v>
      </x:c>
      <x:c r="I74" s="22" t="str">
        <x:v>步骤、构成、指法示意及连接练习；链接查图工具</x:v>
      </x:c>
    </x:row>
    <x:row r="75" ht="44" customHeight="1">
      <x:c r="A75" s="22" t="str">
        <x:v>K0587</x:v>
      </x:c>
      <x:c r="B75" s="22" t="str">
        <x:v>chords in key of a</x:v>
      </x:c>
      <x:c r="C75" s="22" t="n">
        <x:v>480</x:v>
      </x:c>
      <x:c r="D75" s="22" t="str">
        <x:v>同页补充/条件/问题（非同义）</x:v>
      </x:c>
      <x:c r="E75" s="22" t="str">
        <x:v>P161</x:v>
      </x:c>
      <x:c r="F75" s="22" t="str">
        <x:v>/chords/by-key</x:v>
      </x:c>
      <x:c r="G75" s="22" t="str">
        <x:v>a-major</x:v>
      </x:c>
      <x:c r="H75" s="22" t="str">
        <x:v>piano_keyword_research_combined.xlsx｜关键词数据!A403:G403</x:v>
      </x:c>
      <x:c r="I75" s="22" t="str">
        <x:v>查询A大调和弦集合；必须在该页提供实际结果，不只增加一个关键词。</x:v>
      </x:c>
    </x:row>
    <x:row r="76" ht="44" customHeight="1">
      <x:c r="A76" s="22" t="str">
        <x:v>K0592</x:v>
      </x:c>
      <x:c r="B76" s="22" t="str">
        <x:v>cool chord progressions</x:v>
      </x:c>
      <x:c r="C76" s="22" t="n">
        <x:v>480</x:v>
      </x:c>
      <x:c r="D76" s="22" t="str">
        <x:v>同页补充/条件/问题（非同义）</x:v>
      </x:c>
      <x:c r="E76" s="22" t="str">
        <x:v>P177</x:v>
      </x:c>
      <x:c r="F76" s="22" t="str">
        <x:v>/chord-progressions</x:v>
      </x:c>
      <x:c r="G76" s="22" t="str">
        <x:v>beautiful</x:v>
      </x:c>
      <x:c r="H76" s="22" t="str">
        <x:v>piano_keyword_research_combined.xlsx｜关键词数据!A405:G405</x:v>
      </x:c>
      <x:c r="I76" s="22" t="str">
        <x:v>查询优美钢琴和弦走向；必须在该页提供实际结果，不只增加一个关键词。</x:v>
      </x:c>
    </x:row>
    <x:row r="77" ht="44" customHeight="1">
      <x:c r="A77" s="22" t="str">
        <x:v>K0598</x:v>
      </x:c>
      <x:c r="B77" s="22" t="str">
        <x:v>e major scale chords piano</x:v>
      </x:c>
      <x:c r="C77" s="22" t="n">
        <x:v>480</x:v>
      </x:c>
      <x:c r="D77" s="22" t="str">
        <x:v>同义词合并</x:v>
      </x:c>
      <x:c r="E77" s="22" t="str">
        <x:v>P160</x:v>
      </x:c>
      <x:c r="F77" s="22" t="str">
        <x:v>/chords/by-key</x:v>
      </x:c>
      <x:c r="G77" s="22" t="str">
        <x:v>e-major</x:v>
      </x:c>
      <x:c r="H77" s="22" t="str">
        <x:v>piano_keyword_research_combined.xlsx｜关键词数据!A170:G170</x:v>
      </x:c>
      <x:c r="I77" s="22" t="str">
        <x:v>查E大调各级和弦；必须在该页提供实际结果，不只增加一个关键词。</x:v>
      </x:c>
    </x:row>
    <x:row r="78" ht="44" customHeight="1">
      <x:c r="A78" s="22" t="str">
        <x:v>K0627</x:v>
      </x:c>
      <x:c r="B78" s="22" t="str">
        <x:v>key of f chords piano</x:v>
      </x:c>
      <x:c r="C78" s="22" t="n">
        <x:v>480</x:v>
      </x:c>
      <x:c r="D78" s="22" t="str">
        <x:v>页面代表词</x:v>
      </x:c>
      <x:c r="E78" s="22" t="str">
        <x:v>P164</x:v>
      </x:c>
      <x:c r="F78" s="22" t="str">
        <x:v>/chords/by-key</x:v>
      </x:c>
      <x:c r="G78" s="22" t="str">
        <x:v>f-major</x:v>
      </x:c>
      <x:c r="H78" s="22" t="str">
        <x:v>piano_keyword_research_combined.xlsx｜关键词数据!A712:G712</x:v>
      </x:c>
      <x:c r="I78" s="22" t="str">
        <x:v>查F大调各级和弦；必须在该页提供实际结果，不只增加一个关键词。</x:v>
      </x:c>
    </x:row>
    <x:row r="79" ht="44" customHeight="1">
      <x:c r="A79" s="22" t="str">
        <x:v>K0628</x:v>
      </x:c>
      <x:c r="B79" s="22" t="str">
        <x:v>key of g chords piano</x:v>
      </x:c>
      <x:c r="C79" s="22" t="n">
        <x:v>480</x:v>
      </x:c>
      <x:c r="D79" s="22" t="str">
        <x:v>同义词合并</x:v>
      </x:c>
      <x:c r="E79" s="22" t="str">
        <x:v>P156</x:v>
      </x:c>
      <x:c r="F79" s="22" t="str">
        <x:v>/chords/by-key</x:v>
      </x:c>
      <x:c r="G79" s="22" t="str">
        <x:v>g-major</x:v>
      </x:c>
      <x:c r="H79" s="22" t="str">
        <x:v>piano_keyword_research_combined.xlsx｜关键词数据!A713:G713</x:v>
      </x:c>
      <x:c r="I79" s="22" t="str">
        <x:v>查G大调各级和弦；必须在该页提供实际结果，不只增加一个关键词。</x:v>
      </x:c>
    </x:row>
    <x:row r="80" ht="44" customHeight="1">
      <x:c r="A80" s="22" t="str">
        <x:v>K0657</x:v>
      </x:c>
      <x:c r="B80" s="22" t="str">
        <x:v>piano chord cheat sheet</x:v>
      </x:c>
      <x:c r="C80" s="22" t="n">
        <x:v>480</x:v>
      </x:c>
      <x:c r="D80" s="22" t="str">
        <x:v>同义词合并</x:v>
      </x:c>
      <x:c r="E80" s="22" t="str">
        <x:v>P148</x:v>
      </x:c>
      <x:c r="F80" s="22" t="str">
        <x:v>/chords</x:v>
      </x:c>
      <x:c r="G80" s="22"/>
      <x:c r="H80" s="22" t="str">
        <x:v>piano_keyword_research_combined.xlsx｜关键词数据!A409:G409; 关键词策略构建器数据汇总.md｜L79｜piano chord chart &gt; piano chord chart; 关键词策略构建器数据汇总.md｜L465｜piano scales &gt; piano chords and progressions</x:v>
      </x:c>
      <x:c r="I80" s="22" t="str">
        <x:v>默认有图表；根音/类型选择、试听、打印及读图说明。</x:v>
      </x:c>
    </x:row>
    <x:row r="81" ht="44" customHeight="1">
      <x:c r="A81" s="22" t="str">
        <x:v>K0658</x:v>
      </x:c>
      <x:c r="B81" s="22" t="str">
        <x:v>piano chord diagram</x:v>
      </x:c>
      <x:c r="C81" s="22" t="n">
        <x:v>480</x:v>
      </x:c>
      <x:c r="D81" s="22" t="str">
        <x:v>同义词合并</x:v>
      </x:c>
      <x:c r="E81" s="22" t="str">
        <x:v>P148</x:v>
      </x:c>
      <x:c r="F81" s="22" t="str">
        <x:v>/chords</x:v>
      </x:c>
      <x:c r="G81" s="22"/>
      <x:c r="H81" s="22" t="str">
        <x:v>piano_keyword_research_combined.xlsx｜关键词数据!A410:G410</x:v>
      </x:c>
      <x:c r="I81" s="22" t="str">
        <x:v>默认有图表；根音/类型选择、试听、打印及读图说明。</x:v>
      </x:c>
    </x:row>
    <x:row r="82" ht="44" customHeight="1">
      <x:c r="A82" s="22" t="str">
        <x:v>K0661</x:v>
      </x:c>
      <x:c r="B82" s="22" t="str">
        <x:v>piano finger chart</x:v>
      </x:c>
      <x:c r="C82" s="22" t="n">
        <x:v>480</x:v>
      </x:c>
      <x:c r="D82" s="22" t="str">
        <x:v>同义词合并</x:v>
      </x:c>
      <x:c r="E82" s="22" t="str">
        <x:v>P126</x:v>
      </x:c>
      <x:c r="F82" s="22" t="str">
        <x:v>/keyboard-notes/finger-numbers</x:v>
      </x:c>
      <x:c r="G82" s="22"/>
      <x:c r="H82" s="22" t="str">
        <x:v>piano_keyword_research_combined.xlsx｜关键词数据!A187:G187</x:v>
      </x:c>
      <x:c r="I82" s="22" t="str">
        <x:v>左右手编号图；基础使用说明；链接到具体和弦/音阶指法</x:v>
      </x:c>
    </x:row>
    <x:row r="83" ht="44" customHeight="1">
      <x:c r="A83" s="22" t="str">
        <x:v>K0664</x:v>
      </x:c>
      <x:c r="B83" s="22" t="str">
        <x:v>piano keyboard chords for beginners</x:v>
      </x:c>
      <x:c r="C83" s="22" t="n">
        <x:v>480</x:v>
      </x:c>
      <x:c r="D83" s="22" t="str">
        <x:v>同义词合并</x:v>
      </x:c>
      <x:c r="E83" s="22" t="str">
        <x:v>P225</x:v>
      </x:c>
      <x:c r="F83" s="22" t="str">
        <x:v>/guide/piano-chords</x:v>
      </x:c>
      <x:c r="G83" s="22" t="str">
        <x:v>beginner</x:v>
      </x:c>
      <x:c r="H83" s="22" t="str">
        <x:v>piano_keyword_research_combined.xlsx｜关键词数据!A411:G411</x:v>
      </x:c>
      <x:c r="I83" s="22" t="str">
        <x:v>初学钢琴基础和弦选择与弹法；必须在该页提供实际结果，不只增加一个关键词。</x:v>
      </x:c>
    </x:row>
    <x:row r="84" ht="44" customHeight="1">
      <x:c r="A84" s="22" t="str">
        <x:v>K0668</x:v>
      </x:c>
      <x:c r="B84" s="22" t="str">
        <x:v>piano major chords</x:v>
      </x:c>
      <x:c r="C84" s="22" t="n">
        <x:v>480</x:v>
      </x:c>
      <x:c r="D84" s="22" t="str">
        <x:v>同义词合并</x:v>
      </x:c>
      <x:c r="E84" s="22" t="str">
        <x:v>P158</x:v>
      </x:c>
      <x:c r="F84" s="22" t="str">
        <x:v>/chords</x:v>
      </x:c>
      <x:c r="G84" s="22" t="str">
        <x:v>major</x:v>
      </x:c>
      <x:c r="H84" s="22" t="str">
        <x:v>piano_keyword_research_combined.xlsx｜关键词数据!A412:G412</x:v>
      </x:c>
      <x:c r="I84" s="22" t="str">
        <x:v>major 选择后显示经过核对的实际和弦结果。</x:v>
      </x:c>
    </x:row>
    <x:row r="85" ht="44" customHeight="1">
      <x:c r="A85" s="22" t="str">
        <x:v>K0671</x:v>
      </x:c>
      <x:c r="B85" s="22" t="str">
        <x:v>piano playing by chords</x:v>
      </x:c>
      <x:c r="C85" s="22" t="n">
        <x:v>480</x:v>
      </x:c>
      <x:c r="D85" s="22" t="str">
        <x:v>同义词合并</x:v>
      </x:c>
      <x:c r="E85" s="22" t="str">
        <x:v>P220</x:v>
      </x:c>
      <x:c r="F85" s="22" t="str">
        <x:v>/guide/piano-chords</x:v>
      </x:c>
      <x:c r="G85" s="22"/>
      <x:c r="H85" s="22" t="str">
        <x:v>piano_keyword_research_combined.xlsx｜关键词数据!A413:G413</x:v>
      </x:c>
      <x:c r="I85" s="22" t="str">
        <x:v>步骤、构成、指法示意及连接练习；链接查图工具</x:v>
      </x:c>
    </x:row>
    <x:row r="86" ht="44" customHeight="1">
      <x:c r="A86" s="22" t="str">
        <x:v>K0705</x:v>
      </x:c>
      <x:c r="B86" s="22" t="str">
        <x:v>a flat chords piano</x:v>
      </x:c>
      <x:c r="C86" s="22" t="n">
        <x:v>390</x:v>
      </x:c>
      <x:c r="D86" s="22" t="str">
        <x:v>同义词合并</x:v>
      </x:c>
      <x:c r="E86" s="22" t="str">
        <x:v>P155</x:v>
      </x:c>
      <x:c r="F86" s="22" t="str">
        <x:v>/chords/a-flat-major</x:v>
      </x:c>
      <x:c r="G86" s="22"/>
      <x:c r="H86" s="22" t="str">
        <x:v>piano_keyword_research_combined.xlsx｜关键词数据!A415:G415</x:v>
      </x:c>
      <x:c r="I86" s="22" t="str">
        <x:v>当前和弦的音名/键位/音程；原位和转位；可用时播放；清晰指法说明；相关查询链接</x:v>
      </x:c>
    </x:row>
    <x:row r="87" ht="44" customHeight="1">
      <x:c r="A87" s="22" t="str">
        <x:v>K0706</x:v>
      </x:c>
      <x:c r="B87" s="22" t="str">
        <x:v>a major chord progression</x:v>
      </x:c>
      <x:c r="C87" s="22" t="n">
        <x:v>390</x:v>
      </x:c>
      <x:c r="D87" s="22" t="str">
        <x:v>页面代表词</x:v>
      </x:c>
      <x:c r="E87" s="22" t="str">
        <x:v>P176</x:v>
      </x:c>
      <x:c r="F87" s="22" t="str">
        <x:v>/chord-progressions</x:v>
      </x:c>
      <x:c r="G87" s="22" t="str">
        <x:v>a-major</x:v>
      </x:c>
      <x:c r="H87" s="22" t="str">
        <x:v>piano_keyword_research_combined.xlsx｜关键词数据!A416:G416</x:v>
      </x:c>
      <x:c r="I87" s="22" t="str">
        <x:v>A大调和弦走向；必须在该页提供实际结果，不只增加一个关键词。</x:v>
      </x:c>
    </x:row>
    <x:row r="88" ht="44" customHeight="1">
      <x:c r="A88" s="22" t="str">
        <x:v>K0708</x:v>
      </x:c>
      <x:c r="B88" s="22" t="str">
        <x:v>a minor chord on piano</x:v>
      </x:c>
      <x:c r="C88" s="22" t="n">
        <x:v>390</x:v>
      </x:c>
      <x:c r="D88" s="22" t="str">
        <x:v>同义词合并</x:v>
      </x:c>
      <x:c r="E88" s="22" t="str">
        <x:v>P151</x:v>
      </x:c>
      <x:c r="F88" s="22" t="str">
        <x:v>/chords/a-minor</x:v>
      </x:c>
      <x:c r="G88" s="22"/>
      <x:c r="H88" s="22" t="str">
        <x:v>piano_keyword_research_combined.xlsx｜关键词数据!A417:G417</x:v>
      </x:c>
      <x:c r="I88" s="22" t="str">
        <x:v>当前和弦的音名/键位/音程；原位和转位；可用时播放；清晰指法说明；相关查询链接</x:v>
      </x:c>
    </x:row>
    <x:row r="89" ht="44" customHeight="1">
      <x:c r="A89" s="22" t="str">
        <x:v>K0709</x:v>
      </x:c>
      <x:c r="B89" s="22" t="str">
        <x:v>a minor chords piano</x:v>
      </x:c>
      <x:c r="C89" s="22" t="n">
        <x:v>390</x:v>
      </x:c>
      <x:c r="D89" s="22" t="str">
        <x:v>同义词合并</x:v>
      </x:c>
      <x:c r="E89" s="22" t="str">
        <x:v>P151</x:v>
      </x:c>
      <x:c r="F89" s="22" t="str">
        <x:v>/chords/a-minor</x:v>
      </x:c>
      <x:c r="G89" s="22"/>
      <x:c r="H89" s="22" t="str">
        <x:v>piano_keyword_research_combined.xlsx｜关键词数据!A418:G418</x:v>
      </x:c>
      <x:c r="I89" s="22" t="str">
        <x:v>当前和弦的音名/键位/音程；原位和转位；可用时播放；清晰指法说明；相关查询链接</x:v>
      </x:c>
    </x:row>
    <x:row r="90" ht="44" customHeight="1">
      <x:c r="A90" s="22" t="str">
        <x:v>K0711</x:v>
      </x:c>
      <x:c r="B90" s="22" t="str">
        <x:v>all chords piano</x:v>
      </x:c>
      <x:c r="C90" s="22" t="n">
        <x:v>390</x:v>
      </x:c>
      <x:c r="D90" s="22" t="str">
        <x:v>同义词合并</x:v>
      </x:c>
      <x:c r="E90" s="22" t="str">
        <x:v>P148</x:v>
      </x:c>
      <x:c r="F90" s="22" t="str">
        <x:v>/chords</x:v>
      </x:c>
      <x:c r="G90" s="22"/>
      <x:c r="H90" s="22" t="str">
        <x:v>piano_keyword_research_combined.xlsx｜关键词数据!A419:G419</x:v>
      </x:c>
      <x:c r="I90" s="22" t="str">
        <x:v>默认有图表；根音/类型选择、试听、打印及读图说明。</x:v>
      </x:c>
    </x:row>
    <x:row r="91" ht="44" customHeight="1">
      <x:c r="A91" s="22" t="str">
        <x:v>K0714</x:v>
      </x:c>
      <x:c r="B91" s="22" t="str">
        <x:v>am chord on piano</x:v>
      </x:c>
      <x:c r="C91" s="22" t="n">
        <x:v>390</x:v>
      </x:c>
      <x:c r="D91" s="22" t="str">
        <x:v>同义词合并</x:v>
      </x:c>
      <x:c r="E91" s="22" t="str">
        <x:v>P151</x:v>
      </x:c>
      <x:c r="F91" s="22" t="str">
        <x:v>/chords/a-minor</x:v>
      </x:c>
      <x:c r="G91" s="22"/>
      <x:c r="H91" s="22" t="str">
        <x:v>piano_keyword_research_combined.xlsx｜关键词数据!A421:G421</x:v>
      </x:c>
      <x:c r="I91" s="22" t="str">
        <x:v>当前和弦的音名/键位/音程；原位和转位；可用时播放；清晰指法说明；相关查询链接</x:v>
      </x:c>
    </x:row>
    <x:row r="92" ht="44" customHeight="1">
      <x:c r="A92" s="22" t="str">
        <x:v>K0716</x:v>
      </x:c>
      <x:c r="B92" s="22" t="str">
        <x:v>beautiful chord progressions</x:v>
      </x:c>
      <x:c r="C92" s="22" t="n">
        <x:v>390</x:v>
      </x:c>
      <x:c r="D92" s="22" t="str">
        <x:v>同页补充/条件/问题（非同义）</x:v>
      </x:c>
      <x:c r="E92" s="22" t="str">
        <x:v>P177</x:v>
      </x:c>
      <x:c r="F92" s="22" t="str">
        <x:v>/chord-progressions</x:v>
      </x:c>
      <x:c r="G92" s="22" t="str">
        <x:v>beautiful</x:v>
      </x:c>
      <x:c r="H92" s="22" t="str">
        <x:v>piano_keyword_research_combined.xlsx｜关键词数据!A422:G422</x:v>
      </x:c>
      <x:c r="I92" s="22" t="str">
        <x:v>查询优美钢琴和弦走向；必须在该页提供实际结果，不只增加一个关键词。</x:v>
      </x:c>
    </x:row>
    <x:row r="93" ht="44" customHeight="1">
      <x:c r="A93" s="22" t="str">
        <x:v>K0728</x:v>
      </x:c>
      <x:c r="B93" s="22" t="str">
        <x:v>chord cheat sheet piano</x:v>
      </x:c>
      <x:c r="C93" s="22" t="n">
        <x:v>390</x:v>
      </x:c>
      <x:c r="D93" s="22" t="str">
        <x:v>同义词合并</x:v>
      </x:c>
      <x:c r="E93" s="22" t="str">
        <x:v>P148</x:v>
      </x:c>
      <x:c r="F93" s="22" t="str">
        <x:v>/chords</x:v>
      </x:c>
      <x:c r="G93" s="22"/>
      <x:c r="H93" s="22" t="str">
        <x:v>piano_keyword_research_combined.xlsx｜关键词数据!A424:G424</x:v>
      </x:c>
      <x:c r="I93" s="22" t="str">
        <x:v>默认有图表；根音/类型选择、试听、打印及读图说明。</x:v>
      </x:c>
    </x:row>
    <x:row r="94" ht="44" customHeight="1">
      <x:c r="A94" s="22" t="str">
        <x:v>K0729</x:v>
      </x:c>
      <x:c r="B94" s="22" t="str">
        <x:v>chord namer piano</x:v>
      </x:c>
      <x:c r="C94" s="22" t="n">
        <x:v>390</x:v>
      </x:c>
      <x:c r="D94" s="22" t="str">
        <x:v>同义词合并</x:v>
      </x:c>
      <x:c r="E94" s="22" t="str">
        <x:v>P153</x:v>
      </x:c>
      <x:c r="F94" s="22" t="str">
        <x:v>/chords/finder</x:v>
      </x:c>
      <x:c r="G94" s="22"/>
      <x:c r="H94" s="22" t="str">
        <x:v>piano_keyword_research_combined.xlsx｜关键词数据!A425:G425</x:v>
      </x:c>
      <x:c r="I94" s="22" t="str">
        <x:v>选择音符；列出可能命名、低音与拼写说明</x:v>
      </x:c>
    </x:row>
    <x:row r="95" ht="44" customHeight="1">
      <x:c r="A95" s="22" t="str">
        <x:v>K0730</x:v>
      </x:c>
      <x:c r="B95" s="22" t="str">
        <x:v>chord sheet piano</x:v>
      </x:c>
      <x:c r="C95" s="22" t="n">
        <x:v>390</x:v>
      </x:c>
      <x:c r="D95" s="22" t="str">
        <x:v>同义词合并</x:v>
      </x:c>
      <x:c r="E95" s="22" t="str">
        <x:v>P148</x:v>
      </x:c>
      <x:c r="F95" s="22" t="str">
        <x:v>/chords</x:v>
      </x:c>
      <x:c r="G95" s="22"/>
      <x:c r="H95" s="22" t="str">
        <x:v>piano_keyword_research_combined.xlsx｜关键词数据!A426:G426</x:v>
      </x:c>
      <x:c r="I95" s="22" t="str">
        <x:v>默认有图表；根音/类型选择、试听、打印及读图说明。</x:v>
      </x:c>
    </x:row>
    <x:row r="96" ht="44" customHeight="1">
      <x:c r="A96" s="22" t="str">
        <x:v>K0731</x:v>
      </x:c>
      <x:c r="B96" s="22" t="str">
        <x:v>chords in the a major scale</x:v>
      </x:c>
      <x:c r="C96" s="22" t="n">
        <x:v>390</x:v>
      </x:c>
      <x:c r="D96" s="22" t="str">
        <x:v>同页补充/条件/问题（非同义）</x:v>
      </x:c>
      <x:c r="E96" s="22" t="str">
        <x:v>P161</x:v>
      </x:c>
      <x:c r="F96" s="22" t="str">
        <x:v>/chords/by-key</x:v>
      </x:c>
      <x:c r="G96" s="22" t="str">
        <x:v>a-major</x:v>
      </x:c>
      <x:c r="H96" s="22" t="str">
        <x:v>piano_keyword_research_combined.xlsx｜关键词数据!A204:G204</x:v>
      </x:c>
      <x:c r="I96" s="22" t="str">
        <x:v>查询A大调和弦集合；必须在该页提供实际结果，不只增加一个关键词。</x:v>
      </x:c>
    </x:row>
    <x:row r="97" ht="44" customHeight="1">
      <x:c r="A97" s="22" t="str">
        <x:v>K0732</x:v>
      </x:c>
      <x:c r="B97" s="22" t="str">
        <x:v>chords piano chart</x:v>
      </x:c>
      <x:c r="C97" s="22" t="n">
        <x:v>390</x:v>
      </x:c>
      <x:c r="D97" s="22" t="str">
        <x:v>同义词合并</x:v>
      </x:c>
      <x:c r="E97" s="22" t="str">
        <x:v>P148</x:v>
      </x:c>
      <x:c r="F97" s="22" t="str">
        <x:v>/chords</x:v>
      </x:c>
      <x:c r="G97" s="22"/>
      <x:c r="H97" s="22" t="str">
        <x:v>piano_keyword_research_combined.xlsx｜关键词数据!A427:G427</x:v>
      </x:c>
      <x:c r="I97" s="22" t="str">
        <x:v>默认有图表；根音/类型选择、试听、打印及读图说明。</x:v>
      </x:c>
    </x:row>
    <x:row r="98" ht="44" customHeight="1">
      <x:c r="A98" s="22" t="str">
        <x:v>K0756</x:v>
      </x:c>
      <x:c r="B98" s="22" t="str">
        <x:v>f major scale chords piano</x:v>
      </x:c>
      <x:c r="C98" s="22" t="n">
        <x:v>390</x:v>
      </x:c>
      <x:c r="D98" s="22" t="str">
        <x:v>同义词合并</x:v>
      </x:c>
      <x:c r="E98" s="22" t="str">
        <x:v>P164</x:v>
      </x:c>
      <x:c r="F98" s="22" t="str">
        <x:v>/chords/by-key</x:v>
      </x:c>
      <x:c r="G98" s="22" t="str">
        <x:v>f-major</x:v>
      </x:c>
      <x:c r="H98" s="22" t="str">
        <x:v>piano_keyword_research_combined.xlsx｜关键词数据!A213:G213</x:v>
      </x:c>
      <x:c r="I98" s="22" t="str">
        <x:v>查F大调各级和弦；必须在该页提供实际结果，不只增加一个关键词。</x:v>
      </x:c>
    </x:row>
    <x:row r="99" ht="44" customHeight="1">
      <x:c r="A99" s="22" t="str">
        <x:v>K0785</x:v>
      </x:c>
      <x:c r="B99" s="22" t="str">
        <x:v>key chord chart</x:v>
      </x:c>
      <x:c r="C99" s="22" t="n">
        <x:v>390</x:v>
      </x:c>
      <x:c r="D99" s="22" t="str">
        <x:v>同义词合并</x:v>
      </x:c>
      <x:c r="E99" s="22" t="str">
        <x:v>P152</x:v>
      </x:c>
      <x:c r="F99" s="22" t="str">
        <x:v>/chords/by-key</x:v>
      </x:c>
      <x:c r="G99" s="22"/>
      <x:c r="H99" s="22" t="str">
        <x:v>piano_keyword_research_combined.xlsx｜关键词数据!A430:G430</x:v>
      </x:c>
      <x:c r="I99" s="22" t="str">
        <x:v>有内容的调性选择器与各级和弦表；支持已有G/D/C/E/A/F及D minor任务</x:v>
      </x:c>
    </x:row>
    <x:row r="100" ht="44" customHeight="1">
      <x:c r="A100" s="22" t="str">
        <x:v>K0786</x:v>
      </x:c>
      <x:c r="B100" s="22" t="str">
        <x:v>key of f piano chords</x:v>
      </x:c>
      <x:c r="C100" s="22" t="n">
        <x:v>390</x:v>
      </x:c>
      <x:c r="D100" s="22" t="str">
        <x:v>同义词合并</x:v>
      </x:c>
      <x:c r="E100" s="22" t="str">
        <x:v>P164</x:v>
      </x:c>
      <x:c r="F100" s="22" t="str">
        <x:v>/chords/by-key</x:v>
      </x:c>
      <x:c r="G100" s="22" t="str">
        <x:v>f-major</x:v>
      </x:c>
      <x:c r="H100" s="22" t="str">
        <x:v>piano_keyword_research_combined.xlsx｜关键词数据!A771:G771</x:v>
      </x:c>
      <x:c r="I100" s="22" t="str">
        <x:v>查F大调各级和弦；必须在该页提供实际结果，不只增加一个关键词。</x:v>
      </x:c>
    </x:row>
    <x:row r="101" ht="44" customHeight="1">
      <x:c r="A101" s="22" t="str">
        <x:v>K0801</x:v>
      </x:c>
      <x:c r="B101" s="22" t="str">
        <x:v>major piano chords</x:v>
      </x:c>
      <x:c r="C101" s="22" t="n">
        <x:v>390</x:v>
      </x:c>
      <x:c r="D101" s="22" t="str">
        <x:v>同义词合并</x:v>
      </x:c>
      <x:c r="E101" s="22" t="str">
        <x:v>P158</x:v>
      </x:c>
      <x:c r="F101" s="22" t="str">
        <x:v>/chords</x:v>
      </x:c>
      <x:c r="G101" s="22" t="str">
        <x:v>major</x:v>
      </x:c>
      <x:c r="H101" s="22" t="str">
        <x:v>piano_keyword_research_combined.xlsx｜关键词数据!A432:G432</x:v>
      </x:c>
      <x:c r="I101" s="22" t="str">
        <x:v>major 选择后显示经过核对的实际和弦结果。</x:v>
      </x:c>
    </x:row>
    <x:row r="102" ht="44" customHeight="1">
      <x:c r="A102" s="22" t="str">
        <x:v>K0806</x:v>
      </x:c>
      <x:c r="B102" s="22" t="str">
        <x:v>minor piano chords</x:v>
      </x:c>
      <x:c r="C102" s="22" t="n">
        <x:v>390</x:v>
      </x:c>
      <x:c r="D102" s="22" t="str">
        <x:v>同义词合并</x:v>
      </x:c>
      <x:c r="E102" s="22" t="str">
        <x:v>P154</x:v>
      </x:c>
      <x:c r="F102" s="22" t="str">
        <x:v>/chords</x:v>
      </x:c>
      <x:c r="G102" s="22" t="str">
        <x:v>minor</x:v>
      </x:c>
      <x:c r="H102" s="22" t="str">
        <x:v>piano_keyword_research_combined.xlsx｜关键词数据!A433:G433</x:v>
      </x:c>
      <x:c r="I102" s="22" t="str">
        <x:v>minor 选择后显示经过核对的实际和弦结果。</x:v>
      </x:c>
    </x:row>
    <x:row r="103" ht="44" customHeight="1">
      <x:c r="A103" s="22" t="str">
        <x:v>K0823</x:v>
      </x:c>
      <x:c r="B103" s="22" t="str">
        <x:v>piano a flat chord</x:v>
      </x:c>
      <x:c r="C103" s="22" t="n">
        <x:v>390</x:v>
      </x:c>
      <x:c r="D103" s="22" t="str">
        <x:v>同义词合并</x:v>
      </x:c>
      <x:c r="E103" s="22" t="str">
        <x:v>P155</x:v>
      </x:c>
      <x:c r="F103" s="22" t="str">
        <x:v>/chords/a-flat-major</x:v>
      </x:c>
      <x:c r="G103" s="22"/>
      <x:c r="H103" s="22" t="str">
        <x:v>piano_keyword_research_combined.xlsx｜关键词数据!A435:G435</x:v>
      </x:c>
      <x:c r="I103" s="22" t="str">
        <x:v>当前和弦的音名/键位/音程；原位和转位；可用时播放；清晰指法说明；相关查询链接</x:v>
      </x:c>
    </x:row>
    <x:row r="104" ht="44" customHeight="1">
      <x:c r="A104" s="22" t="str">
        <x:v>K0825</x:v>
      </x:c>
      <x:c r="B104" s="22" t="str">
        <x:v>piano basic chords</x:v>
      </x:c>
      <x:c r="C104" s="22" t="n">
        <x:v>390</x:v>
      </x:c>
      <x:c r="D104" s="22" t="str">
        <x:v>同义词合并</x:v>
      </x:c>
      <x:c r="E104" s="22" t="str">
        <x:v>P225</x:v>
      </x:c>
      <x:c r="F104" s="22" t="str">
        <x:v>/guide/piano-chords</x:v>
      </x:c>
      <x:c r="G104" s="22" t="str">
        <x:v>beginner</x:v>
      </x:c>
      <x:c r="H104" s="22" t="str">
        <x:v>piano_keyword_research_combined.xlsx｜关键词数据!A436:G436</x:v>
      </x:c>
      <x:c r="I104" s="22" t="str">
        <x:v>初学钢琴基础和弦选择与弹法；必须在该页提供实际结果，不只增加一个关键词。</x:v>
      </x:c>
    </x:row>
    <x:row r="105" ht="44" customHeight="1">
      <x:c r="A105" s="22" t="str">
        <x:v>K0826</x:v>
      </x:c>
      <x:c r="B105" s="22" t="str">
        <x:v>piano beginner chords</x:v>
      </x:c>
      <x:c r="C105" s="22" t="n">
        <x:v>390</x:v>
      </x:c>
      <x:c r="D105" s="22" t="str">
        <x:v>同义词合并</x:v>
      </x:c>
      <x:c r="E105" s="22" t="str">
        <x:v>P225</x:v>
      </x:c>
      <x:c r="F105" s="22" t="str">
        <x:v>/guide/piano-chords</x:v>
      </x:c>
      <x:c r="G105" s="22" t="str">
        <x:v>beginner</x:v>
      </x:c>
      <x:c r="H105" s="22" t="str">
        <x:v>piano_keyword_research_combined.xlsx｜关键词数据!A437:G437</x:v>
      </x:c>
      <x:c r="I105" s="22" t="str">
        <x:v>初学钢琴基础和弦选择与弹法；必须在该页提供实际结果，不只增加一个关键词。</x:v>
      </x:c>
    </x:row>
    <x:row r="106" ht="44" customHeight="1">
      <x:c r="A106" s="22" t="str">
        <x:v>K0830</x:v>
      </x:c>
      <x:c r="B106" s="22" t="str">
        <x:v>piano chord namer</x:v>
      </x:c>
      <x:c r="C106" s="22" t="n">
        <x:v>390</x:v>
      </x:c>
      <x:c r="D106" s="22" t="str">
        <x:v>同义词合并</x:v>
      </x:c>
      <x:c r="E106" s="22" t="str">
        <x:v>P153</x:v>
      </x:c>
      <x:c r="F106" s="22" t="str">
        <x:v>/chords/finder</x:v>
      </x:c>
      <x:c r="G106" s="22"/>
      <x:c r="H106" s="22" t="str">
        <x:v>piano_keyword_research_combined.xlsx｜关键词数据!A438:G438</x:v>
      </x:c>
      <x:c r="I106" s="22" t="str">
        <x:v>选择音符；列出可能命名、低音与拼写说明</x:v>
      </x:c>
    </x:row>
    <x:row r="107" ht="44" customHeight="1">
      <x:c r="A107" s="22" t="str">
        <x:v>K0831</x:v>
      </x:c>
      <x:c r="B107" s="22" t="str">
        <x:v>piano chords cheat sheet</x:v>
      </x:c>
      <x:c r="C107" s="22" t="n">
        <x:v>390</x:v>
      </x:c>
      <x:c r="D107" s="22" t="str">
        <x:v>同义词合并</x:v>
      </x:c>
      <x:c r="E107" s="22" t="str">
        <x:v>P148</x:v>
      </x:c>
      <x:c r="F107" s="22" t="str">
        <x:v>/chords</x:v>
      </x:c>
      <x:c r="G107" s="22"/>
      <x:c r="H107" s="22" t="str">
        <x:v>piano_keyword_research_combined.xlsx｜关键词数据!A439:G439</x:v>
      </x:c>
      <x:c r="I107" s="22" t="str">
        <x:v>默认有图表；根音/类型选择、试听、打印及读图说明。</x:v>
      </x:c>
    </x:row>
    <x:row r="108" ht="44" customHeight="1">
      <x:c r="A108" s="22" t="str">
        <x:v>K0849</x:v>
      </x:c>
      <x:c r="B108" s="22" t="str">
        <x:v>piano progression chords</x:v>
      </x:c>
      <x:c r="C108" s="22" t="n">
        <x:v>390</x:v>
      </x:c>
      <x:c r="D108" s="22" t="str">
        <x:v>同义词合并</x:v>
      </x:c>
      <x:c r="E108" s="22" t="str">
        <x:v>P173</x:v>
      </x:c>
      <x:c r="F108" s="22" t="str">
        <x:v>/chord-progressions</x:v>
      </x:c>
      <x:c r="G108" s="22"/>
      <x:c r="H108" s="22" t="str">
        <x:v>piano_keyword_research_combined.xlsx｜关键词数据!A442:G442</x:v>
      </x:c>
      <x:c r="I108" s="22" t="str">
        <x:v>常见走向列表；C/E/A调转写选择；优美/愉快效果标签；含义与使用说明；打印</x:v>
      </x:c>
    </x:row>
    <x:row r="109" ht="44" customHeight="1">
      <x:c r="A109" s="22" t="str">
        <x:v>K0879</x:v>
      </x:c>
      <x:c r="B109" s="22" t="str">
        <x:v>what are chord progressions</x:v>
      </x:c>
      <x:c r="C109" s="22" t="n">
        <x:v>390</x:v>
      </x:c>
      <x:c r="D109" s="22" t="str">
        <x:v>页面代表词</x:v>
      </x:c>
      <x:c r="E109" s="22" t="str">
        <x:v>P237</x:v>
      </x:c>
      <x:c r="F109" s="22" t="str">
        <x:v>/chord-progressions</x:v>
      </x:c>
      <x:c r="G109" s="22" t="str">
        <x:v>how-it-works</x:v>
      </x:c>
      <x:c r="H109" s="22" t="str">
        <x:v>piano_keyword_research_combined.xlsx｜关键词数据!A444:G444</x:v>
      </x:c>
      <x:c r="I109" s="22" t="str">
        <x:v>说明走向是什么，附可试弹例子。</x:v>
      </x:c>
    </x:row>
    <x:row r="110" ht="44" customHeight="1">
      <x:c r="A110" s="22" t="str">
        <x:v>K0888</x:v>
      </x:c>
      <x:c r="B110" s="22" t="str">
        <x:v>am in piano</x:v>
      </x:c>
      <x:c r="C110" s="22" t="n">
        <x:v>320</x:v>
      </x:c>
      <x:c r="D110" s="22" t="str">
        <x:v>同义词合并</x:v>
      </x:c>
      <x:c r="E110" s="22" t="str">
        <x:v>P151</x:v>
      </x:c>
      <x:c r="F110" s="22" t="str">
        <x:v>/chords/a-minor</x:v>
      </x:c>
      <x:c r="G110" s="22"/>
      <x:c r="H110" s="22" t="str">
        <x:v>piano_keyword_research_combined.xlsx｜关键词数据!A447:G447</x:v>
      </x:c>
      <x:c r="I110" s="22" t="str">
        <x:v>当前和弦的音名/键位/音程；原位和转位；可用时播放；清晰指法说明；相关查询链接</x:v>
      </x:c>
    </x:row>
    <x:row r="111" ht="44" customHeight="1">
      <x:c r="A111" s="22" t="str">
        <x:v>K0891</x:v>
      </x:c>
      <x:c r="B111" s="22" t="str">
        <x:v>b chords piano</x:v>
      </x:c>
      <x:c r="C111" s="22" t="n">
        <x:v>320</x:v>
      </x:c>
      <x:c r="D111" s="22" t="str">
        <x:v>同义词合并</x:v>
      </x:c>
      <x:c r="E111" s="22" t="str">
        <x:v>P150</x:v>
      </x:c>
      <x:c r="F111" s="22" t="str">
        <x:v>/chords/b-major</x:v>
      </x:c>
      <x:c r="G111" s="22"/>
      <x:c r="H111" s="22" t="str">
        <x:v>piano_keyword_research_combined.xlsx｜关键词数据!A448:G448</x:v>
      </x:c>
      <x:c r="I111" s="22" t="str">
        <x:v>当前和弦的音名/键位/音程；原位和转位；可用时播放；清晰指法说明；相关查询链接</x:v>
      </x:c>
    </x:row>
    <x:row r="112" ht="44" customHeight="1">
      <x:c r="A112" s="22" t="str">
        <x:v>K0895</x:v>
      </x:c>
      <x:c r="B112" s="22" t="str">
        <x:v>basic piano chord</x:v>
      </x:c>
      <x:c r="C112" s="22" t="n">
        <x:v>320</x:v>
      </x:c>
      <x:c r="D112" s="22" t="str">
        <x:v>同义词合并</x:v>
      </x:c>
      <x:c r="E112" s="22" t="str">
        <x:v>P225</x:v>
      </x:c>
      <x:c r="F112" s="22" t="str">
        <x:v>/guide/piano-chords</x:v>
      </x:c>
      <x:c r="G112" s="22" t="str">
        <x:v>beginner</x:v>
      </x:c>
      <x:c r="H112" s="22" t="str">
        <x:v>piano_keyword_research_combined.xlsx｜关键词数据!A450:G450</x:v>
      </x:c>
      <x:c r="I112" s="22" t="str">
        <x:v>初学钢琴基础和弦选择与弹法；必须在该页提供实际结果，不只增加一个关键词。</x:v>
      </x:c>
    </x:row>
    <x:row r="113" ht="44" customHeight="1">
      <x:c r="A113" s="22" t="str">
        <x:v>K0909</x:v>
      </x:c>
      <x:c r="B113" s="22" t="str">
        <x:v>chord progression piano</x:v>
      </x:c>
      <x:c r="C113" s="22" t="n">
        <x:v>320</x:v>
      </x:c>
      <x:c r="D113" s="22" t="str">
        <x:v>同义词合并</x:v>
      </x:c>
      <x:c r="E113" s="22" t="str">
        <x:v>P173</x:v>
      </x:c>
      <x:c r="F113" s="22" t="str">
        <x:v>/chord-progressions</x:v>
      </x:c>
      <x:c r="G113" s="22"/>
      <x:c r="H113" s="22" t="str">
        <x:v>piano_keyword_research_combined.xlsx｜关键词数据!A452:G452</x:v>
      </x:c>
      <x:c r="I113" s="22" t="str">
        <x:v>常见走向列表；C/E/A调转写选择；优美/愉快效果标签；含义与使用说明；打印</x:v>
      </x:c>
    </x:row>
    <x:row r="114" ht="44" customHeight="1">
      <x:c r="A114" s="22" t="str">
        <x:v>K0910</x:v>
      </x:c>
      <x:c r="B114" s="22" t="str">
        <x:v>chord sheets for piano</x:v>
      </x:c>
      <x:c r="C114" s="22" t="n">
        <x:v>320</x:v>
      </x:c>
      <x:c r="D114" s="22" t="str">
        <x:v>同义词合并</x:v>
      </x:c>
      <x:c r="E114" s="22" t="str">
        <x:v>P148</x:v>
      </x:c>
      <x:c r="F114" s="22" t="str">
        <x:v>/chords</x:v>
      </x:c>
      <x:c r="G114" s="22"/>
      <x:c r="H114" s="22" t="str">
        <x:v>piano_keyword_research_combined.xlsx｜关键词数据!A453:G453</x:v>
      </x:c>
      <x:c r="I114" s="22" t="str">
        <x:v>默认有图表；根音/类型选择、试听、打印及读图说明。</x:v>
      </x:c>
    </x:row>
    <x:row r="115" ht="44" customHeight="1">
      <x:c r="A115" s="22" t="str">
        <x:v>K0911</x:v>
      </x:c>
      <x:c r="B115" s="22" t="str">
        <x:v>chords for key of a</x:v>
      </x:c>
      <x:c r="C115" s="22" t="n">
        <x:v>320</x:v>
      </x:c>
      <x:c r="D115" s="22" t="str">
        <x:v>同页补充/条件/问题（非同义）</x:v>
      </x:c>
      <x:c r="E115" s="22" t="str">
        <x:v>P161</x:v>
      </x:c>
      <x:c r="F115" s="22" t="str">
        <x:v>/chords/by-key</x:v>
      </x:c>
      <x:c r="G115" s="22" t="str">
        <x:v>a-major</x:v>
      </x:c>
      <x:c r="H115" s="22" t="str">
        <x:v>piano_keyword_research_combined.xlsx｜关键词数据!A454:G454</x:v>
      </x:c>
      <x:c r="I115" s="22" t="str">
        <x:v>查询A大调和弦集合；必须在该页提供实际结果，不只增加一个关键词。</x:v>
      </x:c>
    </x:row>
    <x:row r="116" ht="44" customHeight="1">
      <x:c r="A116" s="22" t="str">
        <x:v>K0913</x:v>
      </x:c>
      <x:c r="B116" s="22" t="str">
        <x:v>chords in key a</x:v>
      </x:c>
      <x:c r="C116" s="22" t="n">
        <x:v>320</x:v>
      </x:c>
      <x:c r="D116" s="22" t="str">
        <x:v>同页补充/条件/问题（非同义）</x:v>
      </x:c>
      <x:c r="E116" s="22" t="str">
        <x:v>P161</x:v>
      </x:c>
      <x:c r="F116" s="22" t="str">
        <x:v>/chords/by-key</x:v>
      </x:c>
      <x:c r="G116" s="22" t="str">
        <x:v>a-major</x:v>
      </x:c>
      <x:c r="H116" s="22" t="str">
        <x:v>piano_keyword_research_combined.xlsx｜关键词数据!A456:G456</x:v>
      </x:c>
      <x:c r="I116" s="22" t="str">
        <x:v>查询A大调和弦集合；必须在该页提供实际结果，不只增加一个关键词。</x:v>
      </x:c>
    </x:row>
    <x:row r="117" ht="44" customHeight="1">
      <x:c r="A117" s="22" t="str">
        <x:v>K0914</x:v>
      </x:c>
      <x:c r="B117" s="22" t="str">
        <x:v>chords in the key of g piano</x:v>
      </x:c>
      <x:c r="C117" s="22" t="n">
        <x:v>320</x:v>
      </x:c>
      <x:c r="D117" s="22" t="str">
        <x:v>同义词合并</x:v>
      </x:c>
      <x:c r="E117" s="22" t="str">
        <x:v>P156</x:v>
      </x:c>
      <x:c r="F117" s="22" t="str">
        <x:v>/chords/by-key</x:v>
      </x:c>
      <x:c r="G117" s="22" t="str">
        <x:v>g-major</x:v>
      </x:c>
      <x:c r="H117" s="22" t="str">
        <x:v>piano_keyword_research_combined.xlsx｜关键词数据!A825:G825</x:v>
      </x:c>
      <x:c r="I117" s="22" t="str">
        <x:v>查G大调各级和弦；必须在该页提供实际结果，不只增加一个关键词。</x:v>
      </x:c>
    </x:row>
    <x:row r="118" ht="44" customHeight="1">
      <x:c r="A118" s="22" t="str">
        <x:v>K0920</x:v>
      </x:c>
      <x:c r="B118" s="22" t="str">
        <x:v>common chord patterns</x:v>
      </x:c>
      <x:c r="C118" s="22" t="n">
        <x:v>320</x:v>
      </x:c>
      <x:c r="D118" s="22" t="str">
        <x:v>同义词合并</x:v>
      </x:c>
      <x:c r="E118" s="22" t="str">
        <x:v>P172</x:v>
      </x:c>
      <x:c r="F118" s="22" t="str">
        <x:v>/chord-progressions</x:v>
      </x:c>
      <x:c r="G118" s="22" t="str">
        <x:v>common</x:v>
      </x:c>
      <x:c r="H118" s="22" t="str">
        <x:v>piano_keyword_research_combined.xlsx｜关键词数据!A457:G457</x:v>
      </x:c>
      <x:c r="I118" s="22" t="str">
        <x:v>常见和弦走向集合；必须在该页提供实际结果，不只增加一个关键词。</x:v>
      </x:c>
    </x:row>
    <x:row r="119" ht="44" customHeight="1">
      <x:c r="A119" s="22" t="str">
        <x:v>K0921</x:v>
      </x:c>
      <x:c r="B119" s="22" t="str">
        <x:v>common chord sequences</x:v>
      </x:c>
      <x:c r="C119" s="22" t="n">
        <x:v>320</x:v>
      </x:c>
      <x:c r="D119" s="22" t="str">
        <x:v>同义词合并</x:v>
      </x:c>
      <x:c r="E119" s="22" t="str">
        <x:v>P172</x:v>
      </x:c>
      <x:c r="F119" s="22" t="str">
        <x:v>/chord-progressions</x:v>
      </x:c>
      <x:c r="G119" s="22" t="str">
        <x:v>common</x:v>
      </x:c>
      <x:c r="H119" s="22" t="str">
        <x:v>piano_keyword_research_combined.xlsx｜关键词数据!A458:G458</x:v>
      </x:c>
      <x:c r="I119" s="22" t="str">
        <x:v>常见和弦走向集合；必须在该页提供实际结果，不只增加一个关键词。</x:v>
      </x:c>
    </x:row>
    <x:row r="120" ht="44" customHeight="1">
      <x:c r="A120" s="22" t="str">
        <x:v>K0922</x:v>
      </x:c>
      <x:c r="B120" s="22" t="str">
        <x:v>cool chord sequences</x:v>
      </x:c>
      <x:c r="C120" s="22" t="n">
        <x:v>320</x:v>
      </x:c>
      <x:c r="D120" s="22" t="str">
        <x:v>同页补充/条件/问题（非同义）</x:v>
      </x:c>
      <x:c r="E120" s="22" t="str">
        <x:v>P177</x:v>
      </x:c>
      <x:c r="F120" s="22" t="str">
        <x:v>/chord-progressions</x:v>
      </x:c>
      <x:c r="G120" s="22" t="str">
        <x:v>beautiful</x:v>
      </x:c>
      <x:c r="H120" s="22" t="str">
        <x:v>piano_keyword_research_combined.xlsx｜关键词数据!A459:G459</x:v>
      </x:c>
      <x:c r="I120" s="22" t="str">
        <x:v>查询优美钢琴和弦走向；必须在该页提供实际结果，不只增加一个关键词。</x:v>
      </x:c>
    </x:row>
    <x:row r="121" ht="44" customHeight="1">
      <x:c r="A121" s="22" t="str">
        <x:v>K0925</x:v>
      </x:c>
      <x:c r="B121" s="22" t="str">
        <x:v>d major scale chords piano</x:v>
      </x:c>
      <x:c r="C121" s="22" t="n">
        <x:v>320</x:v>
      </x:c>
      <x:c r="D121" s="22" t="str">
        <x:v>同义词合并</x:v>
      </x:c>
      <x:c r="E121" s="22" t="str">
        <x:v>P157</x:v>
      </x:c>
      <x:c r="F121" s="22" t="str">
        <x:v>/chords/by-key</x:v>
      </x:c>
      <x:c r="G121" s="22" t="str">
        <x:v>d-major</x:v>
      </x:c>
      <x:c r="H121" s="22" t="str">
        <x:v>piano_keyword_research_combined.xlsx｜关键词数据!A252:G252</x:v>
      </x:c>
      <x:c r="I121" s="22" t="str">
        <x:v>查D大调各级和弦；必须在该页提供实际结果，不只增加一个关键词。</x:v>
      </x:c>
    </x:row>
    <x:row r="122" ht="44" customHeight="1">
      <x:c r="A122" s="22" t="str">
        <x:v>K0927</x:v>
      </x:c>
      <x:c r="B122" s="22" t="str">
        <x:v>d minor scale piano chords</x:v>
      </x:c>
      <x:c r="C122" s="22" t="n">
        <x:v>320</x:v>
      </x:c>
      <x:c r="D122" s="22" t="str">
        <x:v>页面代表词</x:v>
      </x:c>
      <x:c r="E122" s="22" t="str">
        <x:v>P165</x:v>
      </x:c>
      <x:c r="F122" s="22" t="str">
        <x:v>/chords/by-key</x:v>
      </x:c>
      <x:c r="G122" s="22" t="str">
        <x:v>d-minor</x:v>
      </x:c>
      <x:c r="H122" s="22" t="str">
        <x:v>piano_keyword_research_combined.xlsx｜关键词数据!A254:G254</x:v>
      </x:c>
      <x:c r="I122" s="22" t="str">
        <x:v>查D小调各级和弦；必须在该页提供实际结果，不只增加一个关键词。</x:v>
      </x:c>
    </x:row>
    <x:row r="123" ht="44" customHeight="1">
      <x:c r="A123" s="22" t="str">
        <x:v>K0939</x:v>
      </x:c>
      <x:c r="B123" s="22" t="str">
        <x:v>easy piano chord chart</x:v>
      </x:c>
      <x:c r="C123" s="22" t="n">
        <x:v>320</x:v>
      </x:c>
      <x:c r="D123" s="22" t="str">
        <x:v>同页补充/条件/问题（非同义）</x:v>
      </x:c>
      <x:c r="E123" s="22" t="str">
        <x:v>P148</x:v>
      </x:c>
      <x:c r="F123" s="22" t="str">
        <x:v>/chords</x:v>
      </x:c>
      <x:c r="G123" s="22"/>
      <x:c r="H123" s="22" t="str">
        <x:v>piano_keyword_research_combined.xlsx｜关键词数据!A460:G460; Google 第2批 图10</x:v>
      </x:c>
      <x:c r="I123" s="22" t="str">
        <x:v>默认有图表；根音/类型选择、试听、打印及读图说明。</x:v>
      </x:c>
    </x:row>
    <x:row r="124" ht="44" customHeight="1">
      <x:c r="A124" s="22" t="str">
        <x:v>K0986</x:v>
      </x:c>
      <x:c r="B124" s="22" t="str">
        <x:v>key chords</x:v>
      </x:c>
      <x:c r="C124" s="22" t="n">
        <x:v>320</x:v>
      </x:c>
      <x:c r="D124" s="22" t="str">
        <x:v>同义词合并</x:v>
      </x:c>
      <x:c r="E124" s="22" t="str">
        <x:v>P152</x:v>
      </x:c>
      <x:c r="F124" s="22" t="str">
        <x:v>/chords/by-key</x:v>
      </x:c>
      <x:c r="G124" s="22"/>
      <x:c r="H124" s="22" t="str">
        <x:v>piano_keyword_research_combined.xlsx｜关键词数据!A461:G461</x:v>
      </x:c>
      <x:c r="I124" s="22" t="str">
        <x:v>有内容的调性选择器与各级和弦表；支持已有G/D/C/E/A/F及D minor任务</x:v>
      </x:c>
    </x:row>
    <x:row r="125" ht="44" customHeight="1">
      <x:c r="A125" s="22" t="str">
        <x:v>K0988</x:v>
      </x:c>
      <x:c r="B125" s="22" t="str">
        <x:v>keyboard chords chart</x:v>
      </x:c>
      <x:c r="C125" s="22" t="n">
        <x:v>320</x:v>
      </x:c>
      <x:c r="D125" s="22" t="str">
        <x:v>同义词合并</x:v>
      </x:c>
      <x:c r="E125" s="22" t="str">
        <x:v>P148</x:v>
      </x:c>
      <x:c r="F125" s="22" t="str">
        <x:v>/chords</x:v>
      </x:c>
      <x:c r="G125" s="22"/>
      <x:c r="H125" s="22" t="str">
        <x:v>piano_keyword_research_combined.xlsx｜关键词数据!A462:G462</x:v>
      </x:c>
      <x:c r="I125" s="22" t="str">
        <x:v>默认有图表；根音/类型选择、试听、打印及读图说明。</x:v>
      </x:c>
    </x:row>
    <x:row r="126" ht="44" customHeight="1">
      <x:c r="A126" s="22" t="str">
        <x:v>K1009</x:v>
      </x:c>
      <x:c r="B126" s="22" t="str">
        <x:v>major and minor chords piano</x:v>
      </x:c>
      <x:c r="C126" s="22" t="n">
        <x:v>320</x:v>
      </x:c>
      <x:c r="D126" s="22" t="str">
        <x:v>页面代表词</x:v>
      </x:c>
      <x:c r="E126" s="22" t="str">
        <x:v>P238</x:v>
      </x:c>
      <x:c r="F126" s="22" t="str">
        <x:v>/chords</x:v>
      </x:c>
      <x:c r="G126" s="22" t="str">
        <x:v>major-vs-minor</x:v>
      </x:c>
      <x:c r="H126" s="22" t="str">
        <x:v>piano_keyword_research_combined.xlsx｜关键词数据!A266:G266</x:v>
      </x:c>
      <x:c r="I126" s="22" t="str">
        <x:v>大小和弦对比包含音图/示例和区别，不用类型筛选器代替解释。</x:v>
      </x:c>
    </x:row>
    <x:row r="127" ht="44" customHeight="1">
      <x:c r="A127" s="22" t="str">
        <x:v>K1010</x:v>
      </x:c>
      <x:c r="B127" s="22" t="str">
        <x:v>major chords in piano</x:v>
      </x:c>
      <x:c r="C127" s="22" t="n">
        <x:v>320</x:v>
      </x:c>
      <x:c r="D127" s="22" t="str">
        <x:v>同义词合并</x:v>
      </x:c>
      <x:c r="E127" s="22" t="str">
        <x:v>P158</x:v>
      </x:c>
      <x:c r="F127" s="22" t="str">
        <x:v>/chords</x:v>
      </x:c>
      <x:c r="G127" s="22" t="str">
        <x:v>major</x:v>
      </x:c>
      <x:c r="H127" s="22" t="str">
        <x:v>piano_keyword_research_combined.xlsx｜关键词数据!A267:G267</x:v>
      </x:c>
      <x:c r="I127" s="22" t="str">
        <x:v>major 选择后显示经过核对的实际和弦结果。</x:v>
      </x:c>
    </x:row>
    <x:row r="128" ht="44" customHeight="1">
      <x:c r="A128" s="22" t="str">
        <x:v>K1015</x:v>
      </x:c>
      <x:c r="B128" s="22" t="str">
        <x:v>minor piano chord</x:v>
      </x:c>
      <x:c r="C128" s="22" t="n">
        <x:v>320</x:v>
      </x:c>
      <x:c r="D128" s="22" t="str">
        <x:v>同义词合并</x:v>
      </x:c>
      <x:c r="E128" s="22" t="str">
        <x:v>P154</x:v>
      </x:c>
      <x:c r="F128" s="22" t="str">
        <x:v>/chords</x:v>
      </x:c>
      <x:c r="G128" s="22" t="str">
        <x:v>minor</x:v>
      </x:c>
      <x:c r="H128" s="22" t="str">
        <x:v>piano_keyword_research_combined.xlsx｜关键词数据!A464:G464</x:v>
      </x:c>
      <x:c r="I128" s="22" t="str">
        <x:v>minor 选择后显示经过核对的实际和弦结果。</x:v>
      </x:c>
    </x:row>
    <x:row r="129" ht="44" customHeight="1">
      <x:c r="A129" s="22" t="str">
        <x:v>K1040</x:v>
      </x:c>
      <x:c r="B129" s="22" t="str">
        <x:v>piano a minor chord</x:v>
      </x:c>
      <x:c r="C129" s="22" t="n">
        <x:v>320</x:v>
      </x:c>
      <x:c r="D129" s="22" t="str">
        <x:v>同义词合并</x:v>
      </x:c>
      <x:c r="E129" s="22" t="str">
        <x:v>P151</x:v>
      </x:c>
      <x:c r="F129" s="22" t="str">
        <x:v>/chords/a-minor</x:v>
      </x:c>
      <x:c r="G129" s="22"/>
      <x:c r="H129" s="22" t="str">
        <x:v>piano_keyword_research_combined.xlsx｜关键词数据!A465:G465</x:v>
      </x:c>
      <x:c r="I129" s="22" t="str">
        <x:v>当前和弦的音名/键位/音程；原位和转位；可用时播放；清晰指法说明；相关查询链接</x:v>
      </x:c>
    </x:row>
    <x:row r="130" ht="44" customHeight="1">
      <x:c r="A130" s="22" t="str">
        <x:v>K1043</x:v>
      </x:c>
      <x:c r="B130" s="22" t="str">
        <x:v>piano chord b</x:v>
      </x:c>
      <x:c r="C130" s="22" t="n">
        <x:v>320</x:v>
      </x:c>
      <x:c r="D130" s="22" t="str">
        <x:v>同义词合并</x:v>
      </x:c>
      <x:c r="E130" s="22" t="str">
        <x:v>P150</x:v>
      </x:c>
      <x:c r="F130" s="22" t="str">
        <x:v>/chords/b-major</x:v>
      </x:c>
      <x:c r="G130" s="22"/>
      <x:c r="H130" s="22" t="str">
        <x:v>piano_keyword_research_combined.xlsx｜关键词数据!A466:G466</x:v>
      </x:c>
      <x:c r="I130" s="22" t="str">
        <x:v>当前和弦的音名/键位/音程；原位和转位；可用时播放；清晰指法说明；相关查询链接</x:v>
      </x:c>
    </x:row>
    <x:row r="131" ht="44" customHeight="1">
      <x:c r="A131" s="22" t="str">
        <x:v>K1044</x:v>
      </x:c>
      <x:c r="B131" s="22" t="str">
        <x:v>piano chord chart for beginners</x:v>
      </x:c>
      <x:c r="C131" s="22" t="n">
        <x:v>320</x:v>
      </x:c>
      <x:c r="D131" s="22" t="str">
        <x:v>同页补充/条件/问题（非同义）</x:v>
      </x:c>
      <x:c r="E131" s="22" t="str">
        <x:v>P148</x:v>
      </x:c>
      <x:c r="F131" s="22" t="str">
        <x:v>/chords</x:v>
      </x:c>
      <x:c r="G131" s="22"/>
      <x:c r="H131" s="22" t="str">
        <x:v>piano_keyword_research_combined.xlsx｜关键词数据!A468:G468</x:v>
      </x:c>
      <x:c r="I131" s="22" t="str">
        <x:v>默认有图表；根音/类型选择、试听、打印及读图说明。</x:v>
      </x:c>
    </x:row>
    <x:row r="132" ht="44" customHeight="1">
      <x:c r="A132" s="22" t="str">
        <x:v>K1045</x:v>
      </x:c>
      <x:c r="B132" s="22" t="str">
        <x:v>piano chord charts</x:v>
      </x:c>
      <x:c r="C132" s="22" t="n">
        <x:v>320</x:v>
      </x:c>
      <x:c r="D132" s="22" t="str">
        <x:v>同义词合并</x:v>
      </x:c>
      <x:c r="E132" s="22" t="str">
        <x:v>P148</x:v>
      </x:c>
      <x:c r="F132" s="22" t="str">
        <x:v>/chords</x:v>
      </x:c>
      <x:c r="G132" s="22"/>
      <x:c r="H132" s="22" t="str">
        <x:v>piano_keyword_research_combined.xlsx｜关键词数据!A469:G469</x:v>
      </x:c>
      <x:c r="I132" s="22" t="str">
        <x:v>默认有图表；根音/类型选择、试听、打印及读图说明。</x:v>
      </x:c>
    </x:row>
    <x:row r="133" ht="44" customHeight="1">
      <x:c r="A133" s="22" t="str">
        <x:v>K1047</x:v>
      </x:c>
      <x:c r="B133" s="22" t="str">
        <x:v>piano chords in the key of f</x:v>
      </x:c>
      <x:c r="C133" s="22" t="n">
        <x:v>320</x:v>
      </x:c>
      <x:c r="D133" s="22" t="str">
        <x:v>同义词合并</x:v>
      </x:c>
      <x:c r="E133" s="22" t="str">
        <x:v>P164</x:v>
      </x:c>
      <x:c r="F133" s="22" t="str">
        <x:v>/chords/by-key</x:v>
      </x:c>
      <x:c r="G133" s="22" t="str">
        <x:v>f-major</x:v>
      </x:c>
      <x:c r="H133" s="22" t="str">
        <x:v>piano_keyword_research_combined.xlsx｜关键词数据!A471:G471</x:v>
      </x:c>
      <x:c r="I133" s="22" t="str">
        <x:v>查F大调各级和弦；必须在该页提供实际结果，不只增加一个关键词。</x:v>
      </x:c>
    </x:row>
    <x:row r="134" ht="44" customHeight="1">
      <x:c r="A134" s="22" t="str">
        <x:v>K1048</x:v>
      </x:c>
      <x:c r="B134" s="22" t="str">
        <x:v>piano chords sheet</x:v>
      </x:c>
      <x:c r="C134" s="22" t="n">
        <x:v>320</x:v>
      </x:c>
      <x:c r="D134" s="22" t="str">
        <x:v>同义词合并</x:v>
      </x:c>
      <x:c r="E134" s="22" t="str">
        <x:v>P148</x:v>
      </x:c>
      <x:c r="F134" s="22" t="str">
        <x:v>/chords</x:v>
      </x:c>
      <x:c r="G134" s="22"/>
      <x:c r="H134" s="22" t="str">
        <x:v>piano_keyword_research_combined.xlsx｜关键词数据!A472:G472</x:v>
      </x:c>
      <x:c r="I134" s="22" t="str">
        <x:v>默认有图表；根音/类型选择、试听、打印及读图说明。</x:v>
      </x:c>
    </x:row>
    <x:row r="135" ht="44" customHeight="1">
      <x:c r="A135" s="22" t="str">
        <x:v>K1049</x:v>
      </x:c>
      <x:c r="B135" s="22" t="str">
        <x:v>piano chords table</x:v>
      </x:c>
      <x:c r="C135" s="22" t="n">
        <x:v>320</x:v>
      </x:c>
      <x:c r="D135" s="22" t="str">
        <x:v>同义词合并</x:v>
      </x:c>
      <x:c r="E135" s="22" t="str">
        <x:v>P148</x:v>
      </x:c>
      <x:c r="F135" s="22" t="str">
        <x:v>/chords</x:v>
      </x:c>
      <x:c r="G135" s="22"/>
      <x:c r="H135" s="22" t="str">
        <x:v>piano_keyword_research_combined.xlsx｜关键词数据!A473:G473</x:v>
      </x:c>
      <x:c r="I135" s="22" t="str">
        <x:v>默认有图表；根音/类型选择、试听、打印及读图说明。</x:v>
      </x:c>
    </x:row>
    <x:row r="136" ht="44" customHeight="1">
      <x:c r="A136" s="22" t="str">
        <x:v>K1086</x:v>
      </x:c>
      <x:c r="B136" s="22" t="str">
        <x:v>printable piano chord chart</x:v>
      </x:c>
      <x:c r="C136" s="22" t="n">
        <x:v>320</x:v>
      </x:c>
      <x:c r="D136" s="22" t="str">
        <x:v>同页补充/条件/问题（非同义）</x:v>
      </x:c>
      <x:c r="E136" s="22" t="str">
        <x:v>P148</x:v>
      </x:c>
      <x:c r="F136" s="22" t="str">
        <x:v>/chords</x:v>
      </x:c>
      <x:c r="G136" s="22"/>
      <x:c r="H136" s="22" t="str">
        <x:v>piano_keyword_research_combined.xlsx｜关键词数据!A477:G477</x:v>
      </x:c>
      <x:c r="I136" s="22" t="str">
        <x:v>默认有图表；根音/类型选择、试听、打印及读图说明。</x:v>
      </x:c>
    </x:row>
    <x:row r="137" ht="44" customHeight="1">
      <x:c r="A137" s="22" t="str">
        <x:v>K1117</x:v>
      </x:c>
      <x:c r="B137" s="22" t="str">
        <x:v>what chord is this piano</x:v>
      </x:c>
      <x:c r="C137" s="22" t="n">
        <x:v>320</x:v>
      </x:c>
      <x:c r="D137" s="22" t="str">
        <x:v>同义词合并</x:v>
      </x:c>
      <x:c r="E137" s="22" t="str">
        <x:v>P153</x:v>
      </x:c>
      <x:c r="F137" s="22" t="str">
        <x:v>/chords/finder</x:v>
      </x:c>
      <x:c r="G137" s="22"/>
      <x:c r="H137" s="22" t="str">
        <x:v>piano_keyword_research_combined.xlsx｜关键词数据!A479:G479</x:v>
      </x:c>
      <x:c r="I137" s="22" t="str">
        <x:v>选择音符；列出可能命名、低音与拼写说明</x:v>
      </x:c>
    </x:row>
    <x:row r="138" ht="44" customHeight="1">
      <x:c r="A138" s="22" t="str">
        <x:v>K1119</x:v>
      </x:c>
      <x:c r="B138" s="22" t="str">
        <x:v>a chords piano</x:v>
      </x:c>
      <x:c r="C138" s="22" t="n">
        <x:v>260</x:v>
      </x:c>
      <x:c r="D138" s="22" t="str">
        <x:v>同义词合并</x:v>
      </x:c>
      <x:c r="E138" s="22" t="str">
        <x:v>P149</x:v>
      </x:c>
      <x:c r="F138" s="22" t="str">
        <x:v>/chords/a-major</x:v>
      </x:c>
      <x:c r="G138" s="22"/>
      <x:c r="H138" s="22" t="str">
        <x:v>piano_keyword_research_combined.xlsx｜关键词数据!A481:G481</x:v>
      </x:c>
      <x:c r="I138" s="22" t="str">
        <x:v>当前和弦的音名/键位/音程；原位和转位；可用时播放；清晰指法说明；相关查询链接</x:v>
      </x:c>
    </x:row>
    <x:row r="139" ht="44" customHeight="1">
      <x:c r="A139" s="22" t="str">
        <x:v>K1120</x:v>
      </x:c>
      <x:c r="B139" s="22" t="str">
        <x:v>a minor chord for piano</x:v>
      </x:c>
      <x:c r="C139" s="22" t="n">
        <x:v>260</x:v>
      </x:c>
      <x:c r="D139" s="22" t="str">
        <x:v>同义词合并</x:v>
      </x:c>
      <x:c r="E139" s="22" t="str">
        <x:v>P151</x:v>
      </x:c>
      <x:c r="F139" s="22" t="str">
        <x:v>/chords/a-minor</x:v>
      </x:c>
      <x:c r="G139" s="22"/>
      <x:c r="H139" s="22" t="str">
        <x:v>piano_keyword_research_combined.xlsx｜关键词数据!A482:G482</x:v>
      </x:c>
      <x:c r="I139" s="22" t="str">
        <x:v>当前和弦的音名/键位/音程；原位和转位；可用时播放；清晰指法说明；相关查询链接</x:v>
      </x:c>
    </x:row>
    <x:row r="140" ht="44" customHeight="1">
      <x:c r="A140" s="22" t="str">
        <x:v>K1124</x:v>
      </x:c>
      <x:c r="B140" s="22" t="str">
        <x:v>all chords on piano</x:v>
      </x:c>
      <x:c r="C140" s="22" t="n">
        <x:v>260</x:v>
      </x:c>
      <x:c r="D140" s="22" t="str">
        <x:v>同义词合并</x:v>
      </x:c>
      <x:c r="E140" s="22" t="str">
        <x:v>P148</x:v>
      </x:c>
      <x:c r="F140" s="22" t="str">
        <x:v>/chords</x:v>
      </x:c>
      <x:c r="G140" s="22"/>
      <x:c r="H140" s="22" t="str">
        <x:v>piano_keyword_research_combined.xlsx｜关键词数据!A484:G484</x:v>
      </x:c>
      <x:c r="I140" s="22" t="str">
        <x:v>默认有图表；根音/类型选择、试听、打印及读图说明。</x:v>
      </x:c>
    </x:row>
    <x:row r="141" ht="44" customHeight="1">
      <x:c r="A141" s="22" t="str">
        <x:v>K1127</x:v>
      </x:c>
      <x:c r="B141" s="22" t="str">
        <x:v>beautiful chord progressions piano</x:v>
      </x:c>
      <x:c r="C141" s="22" t="n">
        <x:v>260</x:v>
      </x:c>
      <x:c r="D141" s="22" t="str">
        <x:v>页面代表词</x:v>
      </x:c>
      <x:c r="E141" s="22" t="str">
        <x:v>P177</x:v>
      </x:c>
      <x:c r="F141" s="22" t="str">
        <x:v>/chord-progressions</x:v>
      </x:c>
      <x:c r="G141" s="22" t="str">
        <x:v>beautiful</x:v>
      </x:c>
      <x:c r="H141" s="22" t="str">
        <x:v>piano_keyword_research_combined.xlsx｜关键词数据!A487:G487</x:v>
      </x:c>
      <x:c r="I141" s="22" t="str">
        <x:v>查询优美钢琴和弦走向；必须在该页提供实际结果，不只增加一个关键词。</x:v>
      </x:c>
    </x:row>
    <x:row r="142" ht="44" customHeight="1">
      <x:c r="A142" s="22" t="str">
        <x:v>K1130</x:v>
      </x:c>
      <x:c r="B142" s="22" t="str">
        <x:v>c minor in piano</x:v>
      </x:c>
      <x:c r="C142" s="22" t="n">
        <x:v>260</x:v>
      </x:c>
      <x:c r="D142" s="22" t="str">
        <x:v>页面代表词</x:v>
      </x:c>
      <x:c r="E142" s="22" t="str">
        <x:v>P166</x:v>
      </x:c>
      <x:c r="F142" s="22" t="str">
        <x:v>/chords/c-minor</x:v>
      </x:c>
      <x:c r="G142" s="22"/>
      <x:c r="H142" s="22" t="str">
        <x:v>piano_keyword_research_combined.xlsx｜关键词数据!A488:G488</x:v>
      </x:c>
      <x:c r="I142" s="22" t="str">
        <x:v>当前和弦的音名/键位/音程；原位和转位；可用时播放；清晰指法说明；相关查询链接</x:v>
      </x:c>
    </x:row>
    <x:row r="143" ht="44" customHeight="1">
      <x:c r="A143" s="22" t="str">
        <x:v>K1132</x:v>
      </x:c>
      <x:c r="B143" s="22" t="str">
        <x:v>cb piano chord</x:v>
      </x:c>
      <x:c r="C143" s="22" t="n">
        <x:v>260</x:v>
      </x:c>
      <x:c r="D143" s="22" t="str">
        <x:v>页面代表词</x:v>
      </x:c>
      <x:c r="E143" s="22" t="str">
        <x:v>P167</x:v>
      </x:c>
      <x:c r="F143" s="22" t="str">
        <x:v>/chords/c-flat-major</x:v>
      </x:c>
      <x:c r="G143" s="22"/>
      <x:c r="H143" s="22" t="str">
        <x:v>piano_keyword_research_combined.xlsx｜关键词数据!A489:G489</x:v>
      </x:c>
      <x:c r="I143" s="22" t="str">
        <x:v>当前和弦的音名/键位/音程；原位和转位；可用时播放；清晰指法说明；相关查询链接</x:v>
      </x:c>
    </x:row>
    <x:row r="144" ht="44" customHeight="1">
      <x:c r="A144" s="22" t="str">
        <x:v>K1133</x:v>
      </x:c>
      <x:c r="B144" s="22" t="str">
        <x:v>chords for a major</x:v>
      </x:c>
      <x:c r="C144" s="22" t="n">
        <x:v>260</x:v>
      </x:c>
      <x:c r="D144" s="22" t="str">
        <x:v>同页补充/条件/问题（非同义）</x:v>
      </x:c>
      <x:c r="E144" s="22" t="str">
        <x:v>P161</x:v>
      </x:c>
      <x:c r="F144" s="22" t="str">
        <x:v>/chords/by-key</x:v>
      </x:c>
      <x:c r="G144" s="22" t="str">
        <x:v>a-major</x:v>
      </x:c>
      <x:c r="H144" s="22" t="str">
        <x:v>piano_keyword_research_combined.xlsx｜关键词数据!A491:G491</x:v>
      </x:c>
      <x:c r="I144" s="22" t="str">
        <x:v>查询A大调和弦集合；必须在该页提供实际结果，不只增加一个关键词。</x:v>
      </x:c>
    </x:row>
    <x:row r="145" ht="44" customHeight="1">
      <x:c r="A145" s="22" t="str">
        <x:v>K1134</x:v>
      </x:c>
      <x:c r="B145" s="22" t="str">
        <x:v>chords in key</x:v>
      </x:c>
      <x:c r="C145" s="22" t="n">
        <x:v>260</x:v>
      </x:c>
      <x:c r="D145" s="22" t="str">
        <x:v>同义词合并</x:v>
      </x:c>
      <x:c r="E145" s="22" t="str">
        <x:v>P152</x:v>
      </x:c>
      <x:c r="F145" s="22" t="str">
        <x:v>/chords/by-key</x:v>
      </x:c>
      <x:c r="G145" s="22"/>
      <x:c r="H145" s="22" t="str">
        <x:v>piano_keyword_research_combined.xlsx｜关键词数据!A492:G492</x:v>
      </x:c>
      <x:c r="I145" s="22" t="str">
        <x:v>有内容的调性选择器与各级和弦表；支持已有G/D/C/E/A/F及D minor任务</x:v>
      </x:c>
    </x:row>
    <x:row r="146" ht="44" customHeight="1">
      <x:c r="A146" s="22" t="str">
        <x:v>K1135</x:v>
      </x:c>
      <x:c r="B146" s="22" t="str">
        <x:v>chords in the key of c piano</x:v>
      </x:c>
      <x:c r="C146" s="22" t="n">
        <x:v>260</x:v>
      </x:c>
      <x:c r="D146" s="22" t="str">
        <x:v>同义词合并</x:v>
      </x:c>
      <x:c r="E146" s="22" t="str">
        <x:v>P159</x:v>
      </x:c>
      <x:c r="F146" s="22" t="str">
        <x:v>/chords/by-key</x:v>
      </x:c>
      <x:c r="G146" s="22" t="str">
        <x:v>c-major</x:v>
      </x:c>
      <x:c r="H146" s="22" t="str">
        <x:v>piano_keyword_research_combined.xlsx｜关键词数据!A913:G913</x:v>
      </x:c>
      <x:c r="I146" s="22" t="str">
        <x:v>查C大调各级和弦；必须在该页提供实际结果，不只增加一个关键词。</x:v>
      </x:c>
    </x:row>
    <x:row r="147" ht="44" customHeight="1">
      <x:c r="A147" s="22" t="str">
        <x:v>K1140</x:v>
      </x:c>
      <x:c r="B147" s="22" t="str">
        <x:v>full piano chord chart</x:v>
      </x:c>
      <x:c r="C147" s="22" t="n">
        <x:v>260</x:v>
      </x:c>
      <x:c r="D147" s="22" t="str">
        <x:v>同义词合并</x:v>
      </x:c>
      <x:c r="E147" s="22" t="str">
        <x:v>P148</x:v>
      </x:c>
      <x:c r="F147" s="22" t="str">
        <x:v>/chords</x:v>
      </x:c>
      <x:c r="G147" s="22"/>
      <x:c r="H147" s="22" t="str">
        <x:v>piano_keyword_research_combined.xlsx｜关键词数据!A494:G494</x:v>
      </x:c>
      <x:c r="I147" s="22" t="str">
        <x:v>默认有图表；根音/类型选择、试听、打印及读图说明。</x:v>
      </x:c>
    </x:row>
    <x:row r="148" ht="44" customHeight="1">
      <x:c r="A148" s="22" t="str">
        <x:v>K1143</x:v>
      </x:c>
      <x:c r="B148" s="22" t="str">
        <x:v>happy chord progressions</x:v>
      </x:c>
      <x:c r="C148" s="22" t="n">
        <x:v>260</x:v>
      </x:c>
      <x:c r="D148" s="22" t="str">
        <x:v>页面代表词</x:v>
      </x:c>
      <x:c r="E148" s="22" t="str">
        <x:v>P178</x:v>
      </x:c>
      <x:c r="F148" s="22" t="str">
        <x:v>/chord-progressions</x:v>
      </x:c>
      <x:c r="G148" s="22" t="str">
        <x:v>happy</x:v>
      </x:c>
      <x:c r="H148" s="22" t="str">
        <x:v>piano_keyword_research_combined.xlsx｜关键词数据!A495:G495</x:v>
      </x:c>
      <x:c r="I148" s="22" t="str">
        <x:v>愉快情绪和弦走向；必须在该页提供实际结果，不只增加一个关键词。</x:v>
      </x:c>
    </x:row>
    <x:row r="149" ht="44" customHeight="1">
      <x:c r="A149" s="22" t="str">
        <x:v>K1161</x:v>
      </x:c>
      <x:c r="B149" s="22" t="str">
        <x:v>how to make chord progressions</x:v>
      </x:c>
      <x:c r="C149" s="22" t="n">
        <x:v>260</x:v>
      </x:c>
      <x:c r="D149" s="22" t="str">
        <x:v>同义词合并</x:v>
      </x:c>
      <x:c r="E149" s="22" t="str">
        <x:v>P237</x:v>
      </x:c>
      <x:c r="F149" s="22" t="str">
        <x:v>/chord-progressions</x:v>
      </x:c>
      <x:c r="G149" s="22" t="str">
        <x:v>how-it-works</x:v>
      </x:c>
      <x:c r="H149" s="22" t="str">
        <x:v>piano_keyword_research_combined.xlsx｜关键词数据!A498:G498</x:v>
      </x:c>
      <x:c r="I149" s="22" t="str">
        <x:v>说明走向是什么，附可试弹例子。</x:v>
      </x:c>
    </x:row>
    <x:row r="150" ht="44" customHeight="1">
      <x:c r="A150" s="22" t="str">
        <x:v>K1163</x:v>
      </x:c>
      <x:c r="B150" s="22" t="str">
        <x:v>key and chord chart</x:v>
      </x:c>
      <x:c r="C150" s="22" t="n">
        <x:v>260</x:v>
      </x:c>
      <x:c r="D150" s="22" t="str">
        <x:v>同义词合并</x:v>
      </x:c>
      <x:c r="E150" s="22" t="str">
        <x:v>P152</x:v>
      </x:c>
      <x:c r="F150" s="22" t="str">
        <x:v>/chords/by-key</x:v>
      </x:c>
      <x:c r="G150" s="22"/>
      <x:c r="H150" s="22" t="str">
        <x:v>piano_keyword_research_combined.xlsx｜关键词数据!A499:G499</x:v>
      </x:c>
      <x:c r="I150" s="22" t="str">
        <x:v>有内容的调性选择器与各级和弦表；支持已有G/D/C/E/A/F及D minor任务</x:v>
      </x:c>
    </x:row>
    <x:row r="151" ht="44" customHeight="1">
      <x:c r="A151" s="22" t="str">
        <x:v>K1166</x:v>
      </x:c>
      <x:c r="B151" s="22" t="str">
        <x:v>keyboard chords piano</x:v>
      </x:c>
      <x:c r="C151" s="22" t="n">
        <x:v>260</x:v>
      </x:c>
      <x:c r="D151" s="22" t="str">
        <x:v>同义词合并</x:v>
      </x:c>
      <x:c r="E151" s="22" t="str">
        <x:v>P148</x:v>
      </x:c>
      <x:c r="F151" s="22" t="str">
        <x:v>/chords</x:v>
      </x:c>
      <x:c r="G151" s="22"/>
      <x:c r="H151" s="22" t="str">
        <x:v>piano_keyword_research_combined.xlsx｜关键词数据!A500:G500</x:v>
      </x:c>
      <x:c r="I151" s="22" t="str">
        <x:v>默认有图表；根音/类型选择、试听、打印及读图说明。</x:v>
      </x:c>
    </x:row>
    <x:row r="152" ht="44" customHeight="1">
      <x:c r="A152" s="22" t="str">
        <x:v>K1172</x:v>
      </x:c>
      <x:c r="B152" s="22" t="str">
        <x:v>major and minor chords for piano</x:v>
      </x:c>
      <x:c r="C152" s="22" t="n">
        <x:v>260</x:v>
      </x:c>
      <x:c r="D152" s="22" t="str">
        <x:v>同义词合并</x:v>
      </x:c>
      <x:c r="E152" s="22" t="str">
        <x:v>P238</x:v>
      </x:c>
      <x:c r="F152" s="22" t="str">
        <x:v>/chords</x:v>
      </x:c>
      <x:c r="G152" s="22" t="str">
        <x:v>major-vs-minor</x:v>
      </x:c>
      <x:c r="H152" s="22" t="str">
        <x:v>piano_keyword_research_combined.xlsx｜关键词数据!A501:G501</x:v>
      </x:c>
      <x:c r="I152" s="22" t="str">
        <x:v>大小和弦对比包含音图/示例和区别，不用类型筛选器代替解释。</x:v>
      </x:c>
    </x:row>
    <x:row r="153" ht="44" customHeight="1">
      <x:c r="A153" s="22" t="str">
        <x:v>K1173</x:v>
      </x:c>
      <x:c r="B153" s="22" t="str">
        <x:v>major chord piano</x:v>
      </x:c>
      <x:c r="C153" s="22" t="n">
        <x:v>260</x:v>
      </x:c>
      <x:c r="D153" s="22" t="str">
        <x:v>同义词合并</x:v>
      </x:c>
      <x:c r="E153" s="22" t="str">
        <x:v>P158</x:v>
      </x:c>
      <x:c r="F153" s="22" t="str">
        <x:v>/chords</x:v>
      </x:c>
      <x:c r="G153" s="22" t="str">
        <x:v>major</x:v>
      </x:c>
      <x:c r="H153" s="22" t="str">
        <x:v>piano_keyword_research_combined.xlsx｜关键词数据!A502:G502</x:v>
      </x:c>
      <x:c r="I153" s="22" t="str">
        <x:v>major 选择后显示经过核对的实际和弦结果。</x:v>
      </x:c>
    </x:row>
    <x:row r="154" ht="44" customHeight="1">
      <x:c r="A154" s="22" t="str">
        <x:v>K1174</x:v>
      </x:c>
      <x:c r="B154" s="22" t="str">
        <x:v>major piano chord</x:v>
      </x:c>
      <x:c r="C154" s="22" t="n">
        <x:v>260</x:v>
      </x:c>
      <x:c r="D154" s="22" t="str">
        <x:v>同义词合并</x:v>
      </x:c>
      <x:c r="E154" s="22" t="str">
        <x:v>P158</x:v>
      </x:c>
      <x:c r="F154" s="22" t="str">
        <x:v>/chords</x:v>
      </x:c>
      <x:c r="G154" s="22" t="str">
        <x:v>major</x:v>
      </x:c>
      <x:c r="H154" s="22" t="str">
        <x:v>piano_keyword_research_combined.xlsx｜关键词数据!A503:G503</x:v>
      </x:c>
      <x:c r="I154" s="22" t="str">
        <x:v>major 选择后显示经过核对的实际和弦结果。</x:v>
      </x:c>
    </x:row>
    <x:row r="155" ht="44" customHeight="1">
      <x:c r="A155" s="22" t="str">
        <x:v>K1176</x:v>
      </x:c>
      <x:c r="B155" s="22" t="str">
        <x:v>most common chord progression</x:v>
      </x:c>
      <x:c r="C155" s="22" t="n">
        <x:v>260</x:v>
      </x:c>
      <x:c r="D155" s="22" t="str">
        <x:v>同义词合并</x:v>
      </x:c>
      <x:c r="E155" s="22" t="str">
        <x:v>P172</x:v>
      </x:c>
      <x:c r="F155" s="22" t="str">
        <x:v>/chord-progressions</x:v>
      </x:c>
      <x:c r="G155" s="22" t="str">
        <x:v>common</x:v>
      </x:c>
      <x:c r="H155" s="22" t="str">
        <x:v>piano_keyword_research_combined.xlsx｜关键词数据!A504:G504</x:v>
      </x:c>
      <x:c r="I155" s="22" t="str">
        <x:v>常见和弦走向集合；必须在该页提供实际结果，不只增加一个关键词。</x:v>
      </x:c>
    </x:row>
    <x:row r="156" ht="44" customHeight="1">
      <x:c r="A156" s="22" t="str">
        <x:v>K1179</x:v>
      </x:c>
      <x:c r="B156" s="22" t="str">
        <x:v>name chord piano</x:v>
      </x:c>
      <x:c r="C156" s="22" t="n">
        <x:v>260</x:v>
      </x:c>
      <x:c r="D156" s="22" t="str">
        <x:v>同义词合并</x:v>
      </x:c>
      <x:c r="E156" s="22" t="str">
        <x:v>P153</x:v>
      </x:c>
      <x:c r="F156" s="22" t="str">
        <x:v>/chords/finder</x:v>
      </x:c>
      <x:c r="G156" s="22"/>
      <x:c r="H156" s="22" t="str">
        <x:v>piano_keyword_research_combined.xlsx｜关键词数据!A505:G505</x:v>
      </x:c>
      <x:c r="I156" s="22" t="str">
        <x:v>选择音符；列出可能命名、低音与拼写说明</x:v>
      </x:c>
    </x:row>
    <x:row r="157" ht="44" customHeight="1">
      <x:c r="A157" s="22" t="str">
        <x:v>K1182</x:v>
      </x:c>
      <x:c r="B157" s="22" t="str">
        <x:v>naming chords piano</x:v>
      </x:c>
      <x:c r="C157" s="22" t="n">
        <x:v>260</x:v>
      </x:c>
      <x:c r="D157" s="22" t="str">
        <x:v>同页补充/条件/问题（非同义）</x:v>
      </x:c>
      <x:c r="E157" s="22" t="str">
        <x:v>P153</x:v>
      </x:c>
      <x:c r="F157" s="22" t="str">
        <x:v>/chords/finder</x:v>
      </x:c>
      <x:c r="G157" s="22"/>
      <x:c r="H157" s="22" t="str">
        <x:v>piano_keyword_research_combined.xlsx｜关键词数据!A506:G506</x:v>
      </x:c>
      <x:c r="I157" s="22" t="str">
        <x:v>选择音符；列出可能命名、低音与拼写说明</x:v>
      </x:c>
    </x:row>
    <x:row r="158" ht="44" customHeight="1">
      <x:c r="A158" s="22" t="str">
        <x:v>K1193</x:v>
      </x:c>
      <x:c r="B158" s="22" t="str">
        <x:v>piano chord chart pdf</x:v>
      </x:c>
      <x:c r="C158" s="22" t="n">
        <x:v>260</x:v>
      </x:c>
      <x:c r="D158" s="22" t="str">
        <x:v>同页补充/条件/问题（非同义）</x:v>
      </x:c>
      <x:c r="E158" s="22" t="str">
        <x:v>P148</x:v>
      </x:c>
      <x:c r="F158" s="22" t="str">
        <x:v>/chords</x:v>
      </x:c>
      <x:c r="G158" s="22"/>
      <x:c r="H158" s="22" t="str">
        <x:v>piano_keyword_research_combined.xlsx｜关键词数据!A510:G510; Google 第2批 图10; Google 第2批 图11</x:v>
      </x:c>
      <x:c r="I158" s="22" t="str">
        <x:v>默认有图表；根音/类型选择、试听、打印及读图说明。</x:v>
      </x:c>
    </x:row>
    <x:row r="159" ht="44" customHeight="1">
      <x:c r="A159" s="22" t="str">
        <x:v>K1194</x:v>
      </x:c>
      <x:c r="B159" s="22" t="str">
        <x:v>piano chord progression</x:v>
      </x:c>
      <x:c r="C159" s="22" t="n">
        <x:v>260</x:v>
      </x:c>
      <x:c r="D159" s="22" t="str">
        <x:v>同义词合并</x:v>
      </x:c>
      <x:c r="E159" s="22" t="str">
        <x:v>P173</x:v>
      </x:c>
      <x:c r="F159" s="22" t="str">
        <x:v>/chord-progressions</x:v>
      </x:c>
      <x:c r="G159" s="22"/>
      <x:c r="H159" s="22" t="str">
        <x:v>piano_keyword_research_combined.xlsx｜关键词数据!A511:G511</x:v>
      </x:c>
      <x:c r="I159" s="22" t="str">
        <x:v>常见走向列表；C/E/A调转写选择；优美/愉快效果标签；含义与使用说明；打印</x:v>
      </x:c>
    </x:row>
    <x:row r="160" ht="44" customHeight="1">
      <x:c r="A160" s="22" t="str">
        <x:v>K1195</x:v>
      </x:c>
      <x:c r="B160" s="22" t="str">
        <x:v>piano chord shapes</x:v>
      </x:c>
      <x:c r="C160" s="22" t="n">
        <x:v>260</x:v>
      </x:c>
      <x:c r="D160" s="22" t="str">
        <x:v>同页补充/条件/问题（非同义）</x:v>
      </x:c>
      <x:c r="E160" s="22" t="str">
        <x:v>P220</x:v>
      </x:c>
      <x:c r="F160" s="22" t="str">
        <x:v>/guide/piano-chords</x:v>
      </x:c>
      <x:c r="G160" s="22"/>
      <x:c r="H160" s="22" t="str">
        <x:v>piano_keyword_research_combined.xlsx｜关键词数据!A512:G512</x:v>
      </x:c>
      <x:c r="I160" s="22" t="str">
        <x:v>步骤、构成、指法示意及连接练习；链接查图工具</x:v>
      </x:c>
    </x:row>
    <x:row r="161" ht="44" customHeight="1">
      <x:c r="A161" s="22" t="str">
        <x:v>K1196</x:v>
      </x:c>
      <x:c r="B161" s="22" t="str">
        <x:v>piano chord sheet printable</x:v>
      </x:c>
      <x:c r="C161" s="22" t="n">
        <x:v>260</x:v>
      </x:c>
      <x:c r="D161" s="22" t="str">
        <x:v>同页补充/条件/问题（非同义）</x:v>
      </x:c>
      <x:c r="E161" s="22" t="str">
        <x:v>P148</x:v>
      </x:c>
      <x:c r="F161" s="22" t="str">
        <x:v>/chords</x:v>
      </x:c>
      <x:c r="G161" s="22"/>
      <x:c r="H161" s="22" t="str">
        <x:v>piano_keyword_research_combined.xlsx｜关键词数据!A513:G513</x:v>
      </x:c>
      <x:c r="I161" s="22" t="str">
        <x:v>默认有图表；根音/类型选择、试听、打印及读图说明。</x:v>
      </x:c>
    </x:row>
    <x:row r="162" ht="44" customHeight="1">
      <x:c r="A162" s="22" t="str">
        <x:v>K1197</x:v>
      </x:c>
      <x:c r="B162" s="22" t="str">
        <x:v>piano chord transitions</x:v>
      </x:c>
      <x:c r="C162" s="22" t="n">
        <x:v>260</x:v>
      </x:c>
      <x:c r="D162" s="22" t="str">
        <x:v>页面代表词</x:v>
      </x:c>
      <x:c r="E162" s="22" t="str">
        <x:v>P242</x:v>
      </x:c>
      <x:c r="F162" s="22" t="str">
        <x:v>/guide/piano-chords</x:v>
      </x:c>
      <x:c r="G162" s="22" t="str">
        <x:v>transitions</x:v>
      </x:c>
      <x:c r="H162" s="22" t="str">
        <x:v>piano_keyword_research_combined.xlsx｜关键词数据!A514:G514</x:v>
      </x:c>
      <x:c r="I162" s="22" t="str">
        <x:v>练习钢琴和弦连接/换和弦动作；必须在该页提供实际结果，不只增加一个关键词。</x:v>
      </x:c>
    </x:row>
    <x:row r="163" ht="44" customHeight="1">
      <x:c r="A163" s="22" t="str">
        <x:v>K1198</x:v>
      </x:c>
      <x:c r="B163" s="22" t="str">
        <x:v>piano chords b major</x:v>
      </x:c>
      <x:c r="C163" s="22" t="n">
        <x:v>260</x:v>
      </x:c>
      <x:c r="D163" s="22" t="str">
        <x:v>同义词合并</x:v>
      </x:c>
      <x:c r="E163" s="22" t="str">
        <x:v>P150</x:v>
      </x:c>
      <x:c r="F163" s="22" t="str">
        <x:v>/chords/b-major</x:v>
      </x:c>
      <x:c r="G163" s="22"/>
      <x:c r="H163" s="22" t="str">
        <x:v>piano_keyword_research_combined.xlsx｜关键词数据!A515:G515</x:v>
      </x:c>
      <x:c r="I163" s="22" t="str">
        <x:v>当前和弦的音名/键位/音程；原位和转位；可用时播放；清晰指法说明；相关查询链接</x:v>
      </x:c>
    </x:row>
    <x:row r="164" ht="44" customHeight="1">
      <x:c r="A164" s="22" t="str">
        <x:v>K1199</x:v>
      </x:c>
      <x:c r="B164" s="22" t="str">
        <x:v>piano chords in the key of c</x:v>
      </x:c>
      <x:c r="C164" s="22" t="n">
        <x:v>260</x:v>
      </x:c>
      <x:c r="D164" s="22" t="str">
        <x:v>同义词合并</x:v>
      </x:c>
      <x:c r="E164" s="22" t="str">
        <x:v>P159</x:v>
      </x:c>
      <x:c r="F164" s="22" t="str">
        <x:v>/chords/by-key</x:v>
      </x:c>
      <x:c r="G164" s="22" t="str">
        <x:v>c-major</x:v>
      </x:c>
      <x:c r="H164" s="22" t="str">
        <x:v>piano_keyword_research_combined.xlsx｜关键词数据!A971:G971</x:v>
      </x:c>
      <x:c r="I164" s="22" t="str">
        <x:v>查C大调各级和弦；必须在该页提供实际结果，不只增加一个关键词。</x:v>
      </x:c>
    </x:row>
    <x:row r="165" ht="44" customHeight="1">
      <x:c r="A165" s="22" t="str">
        <x:v>K1200</x:v>
      </x:c>
      <x:c r="B165" s="22" t="str">
        <x:v>piano chords pdf</x:v>
      </x:c>
      <x:c r="C165" s="22" t="n">
        <x:v>260</x:v>
      </x:c>
      <x:c r="D165" s="22" t="str">
        <x:v>同页补充/条件/问题（非同义）</x:v>
      </x:c>
      <x:c r="E165" s="22" t="str">
        <x:v>P148</x:v>
      </x:c>
      <x:c r="F165" s="22" t="str">
        <x:v>/chords</x:v>
      </x:c>
      <x:c r="G165" s="22"/>
      <x:c r="H165" s="22" t="str">
        <x:v>piano_keyword_research_combined.xlsx｜关键词数据!A516:G516</x:v>
      </x:c>
      <x:c r="I165" s="22" t="str">
        <x:v>默认有图表；根音/类型选择、试听、打印及读图说明。</x:v>
      </x:c>
    </x:row>
    <x:row r="166" ht="44" customHeight="1">
      <x:c r="A166" s="22" t="str">
        <x:v>K1212</x:v>
      </x:c>
      <x:c r="B166" s="22" t="str">
        <x:v>piano minor chords</x:v>
      </x:c>
      <x:c r="C166" s="22" t="n">
        <x:v>260</x:v>
      </x:c>
      <x:c r="D166" s="22" t="str">
        <x:v>同义词合并</x:v>
      </x:c>
      <x:c r="E166" s="22" t="str">
        <x:v>P154</x:v>
      </x:c>
      <x:c r="F166" s="22" t="str">
        <x:v>/chords</x:v>
      </x:c>
      <x:c r="G166" s="22" t="str">
        <x:v>minor</x:v>
      </x:c>
      <x:c r="H166" s="22" t="str">
        <x:v>piano_keyword_research_combined.xlsx｜关键词数据!A520:G520</x:v>
      </x:c>
      <x:c r="I166" s="22" t="str">
        <x:v>minor 选择后显示经过核对的实际和弦结果。</x:v>
      </x:c>
    </x:row>
    <x:row r="167" ht="44" customHeight="1">
      <x:c r="A167" s="22" t="str">
        <x:v>K1225</x:v>
      </x:c>
      <x:c r="B167" s="22" t="str">
        <x:v>popular chord progression</x:v>
      </x:c>
      <x:c r="C167" s="22" t="n">
        <x:v>260</x:v>
      </x:c>
      <x:c r="D167" s="22" t="str">
        <x:v>同义词合并</x:v>
      </x:c>
      <x:c r="E167" s="22" t="str">
        <x:v>P172</x:v>
      </x:c>
      <x:c r="F167" s="22" t="str">
        <x:v>/chord-progressions</x:v>
      </x:c>
      <x:c r="G167" s="22" t="str">
        <x:v>common</x:v>
      </x:c>
      <x:c r="H167" s="22" t="str">
        <x:v>piano_keyword_research_combined.xlsx｜关键词数据!A526:G526</x:v>
      </x:c>
      <x:c r="I167" s="22" t="str">
        <x:v>常见和弦走向集合；必须在该页提供实际结果，不只增加一个关键词。</x:v>
      </x:c>
    </x:row>
    <x:row r="168" ht="44" customHeight="1">
      <x:c r="A168" s="22" t="str">
        <x:v>K1226</x:v>
      </x:c>
      <x:c r="B168" s="22" t="str">
        <x:v>power chords piano</x:v>
      </x:c>
      <x:c r="C168" s="22" t="n">
        <x:v>260</x:v>
      </x:c>
      <x:c r="D168" s="22" t="str">
        <x:v>页面代表词</x:v>
      </x:c>
      <x:c r="E168" s="22" t="str">
        <x:v>P168</x:v>
      </x:c>
      <x:c r="F168" s="22" t="str">
        <x:v>/chords</x:v>
      </x:c>
      <x:c r="G168" s="22" t="str">
        <x:v>power</x:v>
      </x:c>
      <x:c r="H168" s="22" t="str">
        <x:v>piano_keyword_research_combined.xlsx｜关键词数据!A527:G527</x:v>
      </x:c>
      <x:c r="I168" s="22" t="str">
        <x:v>power chord 的实际结果与使用说明，不能只有标签。</x:v>
      </x:c>
    </x:row>
    <x:row r="169" ht="44" customHeight="1">
      <x:c r="A169" s="22" t="str">
        <x:v>K1235</x:v>
      </x:c>
      <x:c r="B169" s="22" t="str">
        <x:v>a chord inversions piano pdf</x:v>
      </x:c>
      <x:c r="C169" s="22"/>
      <x:c r="D169" s="22" t="str">
        <x:v>同页补充/条件/问题（非同义）</x:v>
      </x:c>
      <x:c r="E169" s="22" t="str">
        <x:v>P149</x:v>
      </x:c>
      <x:c r="F169" s="22" t="str">
        <x:v>/chords/a-major</x:v>
      </x:c>
      <x:c r="G169" s="22"/>
      <x:c r="H169" s="22" t="str">
        <x:v>关键词策略构建器数据汇总.md｜L467｜piano scales &gt; piano chords and progressions</x:v>
      </x:c>
      <x:c r="I169" s="22" t="str">
        <x:v>当前和弦的音名/键位/音程；原位和转位；可用时播放；清晰指法说明；相关查询链接</x:v>
      </x:c>
    </x:row>
    <x:row r="170" ht="44" customHeight="1">
      <x:c r="A170" s="22" t="str">
        <x:v>K1237</x:v>
      </x:c>
      <x:c r="B170" s="22" t="str">
        <x:v>a minor chord piano</x:v>
      </x:c>
      <x:c r="C170" s="22"/>
      <x:c r="D170" s="22" t="str">
        <x:v>同义词合并</x:v>
      </x:c>
      <x:c r="E170" s="22" t="str">
        <x:v>P151</x:v>
      </x:c>
      <x:c r="F170" s="22" t="str">
        <x:v>/chords/a-minor</x:v>
      </x:c>
      <x:c r="G170" s="22"/>
      <x:c r="H170" s="22" t="str">
        <x:v>关键词策略构建器数据汇总.md｜L463｜piano scales &gt; piano chords and progressions</x:v>
      </x:c>
      <x:c r="I170" s="22" t="str">
        <x:v>当前和弦的音名/键位/音程；原位和转位；可用时播放；清晰指法说明；相关查询链接</x:v>
      </x:c>
    </x:row>
    <x:row r="171" ht="44" customHeight="1">
      <x:c r="A171" s="22" t="str">
        <x:v>K1240</x:v>
      </x:c>
      <x:c r="B171" s="22" t="str">
        <x:v>ab chord piano</x:v>
      </x:c>
      <x:c r="C171" s="22"/>
      <x:c r="D171" s="22" t="str">
        <x:v>同义词合并</x:v>
      </x:c>
      <x:c r="E171" s="22" t="str">
        <x:v>P155</x:v>
      </x:c>
      <x:c r="F171" s="22" t="str">
        <x:v>/chords/a-flat-major</x:v>
      </x:c>
      <x:c r="G171" s="22"/>
      <x:c r="H171" s="22" t="str">
        <x:v>关键词策略构建器数据汇总.md｜L75｜piano chord chart &gt; piano chord chart</x:v>
      </x:c>
      <x:c r="I171" s="22" t="str">
        <x:v>当前和弦的音名/键位/音程；原位和转位；可用时播放；清晰指法说明；相关查询链接</x:v>
      </x:c>
    </x:row>
    <x:row r="172" ht="44" customHeight="1">
      <x:c r="A172" s="22" t="str">
        <x:v>K1241</x:v>
      </x:c>
      <x:c r="B172" s="22" t="str">
        <x:v>ab piano chord</x:v>
      </x:c>
      <x:c r="C172" s="22"/>
      <x:c r="D172" s="22" t="str">
        <x:v>同义词合并</x:v>
      </x:c>
      <x:c r="E172" s="22" t="str">
        <x:v>P155</x:v>
      </x:c>
      <x:c r="F172" s="22" t="str">
        <x:v>/chords/a-flat-major</x:v>
      </x:c>
      <x:c r="G172" s="22"/>
      <x:c r="H172" s="22" t="str">
        <x:v>关键词策略构建器数据汇总.md｜L462｜piano scales &gt; piano chords and progressions</x:v>
      </x:c>
      <x:c r="I172" s="22" t="str">
        <x:v>当前和弦的音名/键位/音程；原位和转位；可用时播放；清晰指法说明；相关查询链接</x:v>
      </x:c>
    </x:row>
    <x:row r="173" ht="44" customHeight="1">
      <x:c r="A173" s="22" t="str">
        <x:v>K1266</x:v>
      </x:c>
      <x:c r="B173" s="22" t="str">
        <x:v>c chord piano</x:v>
      </x:c>
      <x:c r="C173" s="22"/>
      <x:c r="D173" s="22" t="str">
        <x:v>同义词合并</x:v>
      </x:c>
      <x:c r="E173" s="22" t="str">
        <x:v>P163</x:v>
      </x:c>
      <x:c r="F173" s="22" t="str">
        <x:v>/chords/c-major</x:v>
      </x:c>
      <x:c r="G173" s="22"/>
      <x:c r="H173" s="22" t="str">
        <x:v>piano_keyword_research_combined.xlsx｜关键词数据!A297:G297</x:v>
      </x:c>
      <x:c r="I173" s="22" t="str">
        <x:v>当前和弦的音名/键位/音程；原位和转位；可用时播放；清晰指法说明；相关查询链接</x:v>
      </x:c>
    </x:row>
    <x:row r="174" ht="44" customHeight="1">
      <x:c r="A174" s="22" t="str">
        <x:v>K1292</x:v>
      </x:c>
      <x:c r="B174" s="22" t="str">
        <x:v>free piano chord chart</x:v>
      </x:c>
      <x:c r="C174" s="22"/>
      <x:c r="D174" s="22" t="str">
        <x:v>同页补充/条件/问题（非同义）</x:v>
      </x:c>
      <x:c r="E174" s="22" t="str">
        <x:v>P148</x:v>
      </x:c>
      <x:c r="F174" s="22" t="str">
        <x:v>/chords</x:v>
      </x:c>
      <x:c r="G174" s="22"/>
      <x:c r="H174" s="22" t="str">
        <x:v>Google 第2批 图10</x:v>
      </x:c>
      <x:c r="I174" s="22" t="str">
        <x:v>默认有图表；根音/类型选择、试听、打印及读图说明。</x:v>
      </x:c>
    </x:row>
    <x:row r="175" ht="44" customHeight="1">
      <x:c r="A175" s="22" t="str">
        <x:v>K1293</x:v>
      </x:c>
      <x:c r="B175" s="22" t="str">
        <x:v>free piano chord chart printable pdf</x:v>
      </x:c>
      <x:c r="C175" s="22"/>
      <x:c r="D175" s="22" t="str">
        <x:v>同页补充/条件/问题（非同义）</x:v>
      </x:c>
      <x:c r="E175" s="22" t="str">
        <x:v>P148</x:v>
      </x:c>
      <x:c r="F175" s="22" t="str">
        <x:v>/chords</x:v>
      </x:c>
      <x:c r="G175" s="22"/>
      <x:c r="H175" s="22" t="str">
        <x:v>Google 第2批 图10; Google 第2批 图11</x:v>
      </x:c>
      <x:c r="I175" s="22" t="str">
        <x:v>默认有图表；根音/类型选择、试听、打印及读图说明。</x:v>
      </x:c>
    </x:row>
    <x:row r="176" ht="44" customHeight="1">
      <x:c r="A176" s="22" t="str">
        <x:v>K1298</x:v>
      </x:c>
      <x:c r="B176" s="22" t="str">
        <x:v>g chord piano</x:v>
      </x:c>
      <x:c r="C176" s="22"/>
      <x:c r="D176" s="22" t="str">
        <x:v>页面代表词</x:v>
      </x:c>
      <x:c r="E176" s="22" t="str">
        <x:v>P169</x:v>
      </x:c>
      <x:c r="F176" s="22" t="str">
        <x:v>/chords/g-major</x:v>
      </x:c>
      <x:c r="G176" s="22"/>
      <x:c r="H176" s="22" t="str">
        <x:v>关键词策略构建器数据汇总.md｜L163｜piano chord chart &gt; piano scales; 关键词策略构建器数据汇总.md｜L511｜piano scales &gt; piano scales and fingering</x:v>
      </x:c>
      <x:c r="I176" s="22" t="str">
        <x:v>当前和弦的音名/键位/音程；原位和转位；可用时播放；清晰指法说明；相关查询链接</x:v>
      </x:c>
    </x:row>
    <x:row r="177" ht="44" customHeight="1">
      <x:c r="A177" s="22" t="str">
        <x:v>K1307</x:v>
      </x:c>
      <x:c r="B177" s="22" t="str">
        <x:v>how many piano chords are there</x:v>
      </x:c>
      <x:c r="C177" s="22"/>
      <x:c r="D177" s="22" t="str">
        <x:v>同页补充/条件/问题（非同义）</x:v>
      </x:c>
      <x:c r="E177" s="22" t="str">
        <x:v>P148</x:v>
      </x:c>
      <x:c r="F177" s="22" t="str">
        <x:v>/chords</x:v>
      </x:c>
      <x:c r="G177" s="22"/>
      <x:c r="H177" s="22" t="str">
        <x:v>关键词策略构建器数据汇总.md｜L77｜piano chord chart &gt; piano chord chart; 关键词策略构建器数据汇总.md｜L321｜beginner piano sheet music &gt; easy piano sheet music with chords</x:v>
      </x:c>
      <x:c r="I177" s="22" t="str">
        <x:v>默认有图表；根音/类型选择、试听、打印及读图说明。</x:v>
      </x:c>
    </x:row>
    <x:row r="178" ht="44" customHeight="1">
      <x:c r="A178" s="22" t="str">
        <x:v>K1316</x:v>
      </x:c>
      <x:c r="B178" s="22" t="str">
        <x:v>how to read a piano chord chart?</x:v>
      </x:c>
      <x:c r="C178" s="22"/>
      <x:c r="D178" s="22" t="str">
        <x:v>页面代表词</x:v>
      </x:c>
      <x:c r="E178" s="22" t="str">
        <x:v>P247</x:v>
      </x:c>
      <x:c r="F178" s="22" t="str">
        <x:v>/chords</x:v>
      </x:c>
      <x:c r="G178" s="22" t="str">
        <x:v>how-to-read</x:v>
      </x:c>
      <x:c r="H178" s="22" t="str">
        <x:v>Google 第2批 图10</x:v>
      </x:c>
      <x:c r="I178" s="22" t="str">
        <x:v>如何读键盘图、组成音和标记；深入学习连接指南。</x:v>
      </x:c>
    </x:row>
    <x:row r="179" ht="44" customHeight="1">
      <x:c r="A179" s="22" t="str">
        <x:v>K1323</x:v>
      </x:c>
      <x:c r="B179" s="22" t="str">
        <x:v>how to use the chord chart</x:v>
      </x:c>
      <x:c r="C179" s="22"/>
      <x:c r="D179" s="22" t="str">
        <x:v>同页补充/条件/问题（非同义）</x:v>
      </x:c>
      <x:c r="E179" s="22" t="str">
        <x:v>P247</x:v>
      </x:c>
      <x:c r="F179" s="22" t="str">
        <x:v>/chords</x:v>
      </x:c>
      <x:c r="G179" s="22" t="str">
        <x:v>how-to-read</x:v>
      </x:c>
      <x:c r="H179" s="22" t="str">
        <x:v>Google 第2批 图10</x:v>
      </x:c>
      <x:c r="I179" s="22" t="str">
        <x:v>如何读键盘图、组成音和标记；深入学习连接指南。</x:v>
      </x:c>
    </x:row>
    <x:row r="180" ht="44" customHeight="1">
      <x:c r="A180" s="22" t="str">
        <x:v>K1328</x:v>
      </x:c>
      <x:c r="B180" s="22" t="str">
        <x:v>keyboard piano chords beginner</x:v>
      </x:c>
      <x:c r="C180" s="22"/>
      <x:c r="D180" s="22" t="str">
        <x:v>同义词合并</x:v>
      </x:c>
      <x:c r="E180" s="22" t="str">
        <x:v>P225</x:v>
      </x:c>
      <x:c r="F180" s="22" t="str">
        <x:v>/guide/piano-chords</x:v>
      </x:c>
      <x:c r="G180" s="22" t="str">
        <x:v>beginner</x:v>
      </x:c>
      <x:c r="H180" s="22" t="str">
        <x:v>关键词策略构建器数据汇总.md｜L80｜piano chord chart &gt; piano chord chart; 关键词策略构建器数据汇总.md｜L326｜beginner piano sheet music &gt; easy piano sheet music with chords; 关键词策略构建器数据汇总.md｜L468｜piano scales &gt; piano chords and progressions</x:v>
      </x:c>
      <x:c r="I180" s="22" t="str">
        <x:v>初学钢琴基础和弦选择与弹法；必须在该页提供实际结果，不只增加一个关键词。</x:v>
      </x:c>
    </x:row>
    <x:row r="181" ht="44" customHeight="1">
      <x:c r="A181" s="22" t="str">
        <x:v>K1332</x:v>
      </x:c>
      <x:c r="B181" s="22" t="str">
        <x:v>major chords piano cheat sheet</x:v>
      </x:c>
      <x:c r="C181" s="22"/>
      <x:c r="D181" s="22" t="str">
        <x:v>同页补充/条件/问题（非同义）</x:v>
      </x:c>
      <x:c r="E181" s="22" t="str">
        <x:v>P158</x:v>
      </x:c>
      <x:c r="F181" s="22" t="str">
        <x:v>/chords</x:v>
      </x:c>
      <x:c r="G181" s="22" t="str">
        <x:v>major</x:v>
      </x:c>
      <x:c r="H181" s="22" t="str">
        <x:v>Google 第2批 图10</x:v>
      </x:c>
      <x:c r="I181" s="22" t="str">
        <x:v>major 选择后显示经过核对的实际和弦结果。</x:v>
      </x:c>
    </x:row>
    <x:row r="182" ht="44" customHeight="1">
      <x:c r="A182" s="22" t="str">
        <x:v>K1341</x:v>
      </x:c>
      <x:c r="B182" s="22" t="str">
        <x:v>pdf piano chords chart</x:v>
      </x:c>
      <x:c r="C182" s="22"/>
      <x:c r="D182" s="22" t="str">
        <x:v>同页补充/条件/问题（非同义）</x:v>
      </x:c>
      <x:c r="E182" s="22" t="str">
        <x:v>P148</x:v>
      </x:c>
      <x:c r="F182" s="22" t="str">
        <x:v>/chords</x:v>
      </x:c>
      <x:c r="G182" s="22"/>
      <x:c r="H182" s="22" t="str">
        <x:v>Google 第2批 图11</x:v>
      </x:c>
      <x:c r="I182" s="22" t="str">
        <x:v>默认有图表；根音/类型选择、试听、打印及读图说明。</x:v>
      </x:c>
    </x:row>
    <x:row r="183" ht="44" customHeight="1">
      <x:c r="A183" s="22" t="str">
        <x:v>K1345</x:v>
      </x:c>
      <x:c r="B183" s="22" t="str">
        <x:v>piano chord chart 7th</x:v>
      </x:c>
      <x:c r="C183" s="22"/>
      <x:c r="D183" s="22" t="str">
        <x:v>页面代表词</x:v>
      </x:c>
      <x:c r="E183" s="22" t="str">
        <x:v>P170</x:v>
      </x:c>
      <x:c r="F183" s="22" t="str">
        <x:v>/chords</x:v>
      </x:c>
      <x:c r="G183" s="22" t="str">
        <x:v>seventh</x:v>
      </x:c>
      <x:c r="H183" s="22" t="str">
        <x:v>Google 第2批 图10; Google 第2批 图11</x:v>
      </x:c>
      <x:c r="I183" s="22" t="str">
        <x:v>明确 7th 涉及的类别和输出；不把它无条件改成 major7。</x:v>
      </x:c>
    </x:row>
    <x:row r="184" ht="44" customHeight="1">
      <x:c r="A184" s="22" t="str">
        <x:v>K1346</x:v>
      </x:c>
      <x:c r="B184" s="22" t="str">
        <x:v>piano chord chart for beginners pdf</x:v>
      </x:c>
      <x:c r="C184" s="22"/>
      <x:c r="D184" s="22" t="str">
        <x:v>同页补充/条件/问题（非同义）</x:v>
      </x:c>
      <x:c r="E184" s="22" t="str">
        <x:v>P148</x:v>
      </x:c>
      <x:c r="F184" s="22" t="str">
        <x:v>/chords</x:v>
      </x:c>
      <x:c r="G184" s="22"/>
      <x:c r="H184" s="22" t="str">
        <x:v>Google 第2批 图10</x:v>
      </x:c>
      <x:c r="I184" s="22" t="str">
        <x:v>默认有图表；根音/类型选择、试听、打印及读图说明。</x:v>
      </x:c>
    </x:row>
    <x:row r="185" ht="44" customHeight="1">
      <x:c r="A185" s="22" t="str">
        <x:v>K1347</x:v>
      </x:c>
      <x:c r="B185" s="22" t="str">
        <x:v>piano chord chart jazz</x:v>
      </x:c>
      <x:c r="C185" s="22"/>
      <x:c r="D185" s="22" t="str">
        <x:v>页面代表词</x:v>
      </x:c>
      <x:c r="E185" s="22" t="str">
        <x:v>P171</x:v>
      </x:c>
      <x:c r="F185" s="22" t="str">
        <x:v>/chords</x:v>
      </x:c>
      <x:c r="G185" s="22" t="str">
        <x:v>jazz</x:v>
      </x:c>
      <x:c r="H185" s="22" t="str">
        <x:v>Google 第2批 图11</x:v>
      </x:c>
      <x:c r="I185" s="22" t="str">
        <x:v>jazz 相关和弦的实际示例及说明，不只加一个风格按钮。</x:v>
      </x:c>
    </x:row>
    <x:row r="186" ht="44" customHeight="1">
      <x:c r="A186" s="22" t="str">
        <x:v>K1348</x:v>
      </x:c>
      <x:c r="B186" s="22" t="str">
        <x:v>piano chord chart with finger position pdf</x:v>
      </x:c>
      <x:c r="C186" s="22"/>
      <x:c r="D186" s="22" t="str">
        <x:v>同页补充/条件/问题（非同义）</x:v>
      </x:c>
      <x:c r="E186" s="22" t="str">
        <x:v>P148</x:v>
      </x:c>
      <x:c r="F186" s="22" t="str">
        <x:v>/chords</x:v>
      </x:c>
      <x:c r="G186" s="22"/>
      <x:c r="H186" s="22" t="str">
        <x:v>Google 第2批 图10; Google 第2批 图11</x:v>
      </x:c>
      <x:c r="I186" s="22" t="str">
        <x:v>默认有图表；根音/类型选择、试听、打印及读图说明。</x:v>
      </x:c>
    </x:row>
    <x:row r="187" ht="44" customHeight="1">
      <x:c r="A187" s="22" t="str">
        <x:v>K1349</x:v>
      </x:c>
      <x:c r="B187" s="22" t="str">
        <x:v>piano chord progressions pdf</x:v>
      </x:c>
      <x:c r="C187" s="22"/>
      <x:c r="D187" s="22" t="str">
        <x:v>同页补充/条件/问题（非同义）</x:v>
      </x:c>
      <x:c r="E187" s="22" t="str">
        <x:v>P173</x:v>
      </x:c>
      <x:c r="F187" s="22" t="str">
        <x:v>/chord-progressions</x:v>
      </x:c>
      <x:c r="G187" s="22"/>
      <x:c r="H187" s="22" t="str">
        <x:v>关键词策略构建器数据汇总.md｜L109｜piano chord chart &gt; piano chord accompaniment</x:v>
      </x:c>
      <x:c r="I187" s="22" t="str">
        <x:v>常见走向列表；C/E/A调转写选择；优美/愉快效果标签；含义与使用说明；打印</x:v>
      </x:c>
    </x:row>
    <x:row r="188" ht="44" customHeight="1">
      <x:c r="A188" s="22" t="str">
        <x:v>K1350</x:v>
      </x:c>
      <x:c r="B188" s="22" t="str">
        <x:v>piano chords</x:v>
      </x:c>
      <x:c r="C188" s="22"/>
      <x:c r="D188" s="22" t="str">
        <x:v>同义词合并</x:v>
      </x:c>
      <x:c r="E188" s="22" t="str">
        <x:v>P148</x:v>
      </x:c>
      <x:c r="F188" s="22" t="str">
        <x:v>/chords</x:v>
      </x:c>
      <x:c r="G188" s="22"/>
      <x:c r="H188" s="22" t="str">
        <x:v>piano_keyword_research_combined.xlsx｜关键词数据!A309:G309; piano_keyword_research_combined.xlsx｜关键词数据!A394:G394; piano_keyword_research_combined.xlsx｜关键词数据!A434:G434; piano_keyword_research_combined.xlsx｜关键词数据!A474:G474; Google 第2批 图11</x:v>
      </x:c>
      <x:c r="I188" s="22" t="str">
        <x:v>默认有图表；根音/类型选择、试听、打印及读图说明。</x:v>
      </x:c>
    </x:row>
    <x:row r="189" ht="44" customHeight="1">
      <x:c r="A189" s="22" t="str">
        <x:v>K1351</x:v>
      </x:c>
      <x:c r="B189" s="22" t="str">
        <x:v>piano chords chart</x:v>
      </x:c>
      <x:c r="C189" s="22"/>
      <x:c r="D189" s="22" t="str">
        <x:v>同页补充/条件/问题（非同义）</x:v>
      </x:c>
      <x:c r="E189" s="22" t="str">
        <x:v>P148</x:v>
      </x:c>
      <x:c r="F189" s="22" t="str">
        <x:v>/chords</x:v>
      </x:c>
      <x:c r="G189" s="22"/>
      <x:c r="H189" s="22" t="str">
        <x:v>Google 第2批 图11</x:v>
      </x:c>
      <x:c r="I189" s="22" t="str">
        <x:v>默认有图表；根音/类型选择、试听、打印及读图说明。</x:v>
      </x:c>
    </x:row>
    <x:row r="190" ht="44" customHeight="1">
      <x:c r="A190" s="22" t="str">
        <x:v>K1352</x:v>
      </x:c>
      <x:c r="B190" s="22" t="str">
        <x:v>piano chords chart for beginners</x:v>
      </x:c>
      <x:c r="C190" s="22"/>
      <x:c r="D190" s="22" t="str">
        <x:v>同页补充/条件/问题（非同义）</x:v>
      </x:c>
      <x:c r="E190" s="22" t="str">
        <x:v>P225</x:v>
      </x:c>
      <x:c r="F190" s="22" t="str">
        <x:v>/guide/piano-chords</x:v>
      </x:c>
      <x:c r="G190" s="22" t="str">
        <x:v>beginner</x:v>
      </x:c>
      <x:c r="H190" s="22" t="str">
        <x:v>Google 第2批 图11</x:v>
      </x:c>
      <x:c r="I190" s="22" t="str">
        <x:v>初学钢琴基础和弦选择与弹法；必须在该页提供实际结果，不只增加一个关键词。</x:v>
      </x:c>
    </x:row>
    <x:row r="191" ht="44" customHeight="1">
      <x:c r="A191" s="22" t="str">
        <x:v>K1353</x:v>
      </x:c>
      <x:c r="B191" s="22" t="str">
        <x:v>piano chords chart pdf</x:v>
      </x:c>
      <x:c r="C191" s="22"/>
      <x:c r="D191" s="22" t="str">
        <x:v>同义词合并</x:v>
      </x:c>
      <x:c r="E191" s="22" t="str">
        <x:v>P148</x:v>
      </x:c>
      <x:c r="F191" s="22" t="str">
        <x:v>/chords</x:v>
      </x:c>
      <x:c r="G191" s="22"/>
      <x:c r="H191" s="22" t="str">
        <x:v>关键词策略构建器数据汇总.md｜L323｜beginner piano sheet music &gt; easy piano sheet music with chords</x:v>
      </x:c>
      <x:c r="I191" s="22" t="str">
        <x:v>默认有图表；根音/类型选择、试听、打印及读图说明。</x:v>
      </x:c>
    </x:row>
    <x:row r="192" ht="44" customHeight="1">
      <x:c r="A192" s="22" t="str">
        <x:v>K1354</x:v>
      </x:c>
      <x:c r="B192" s="22" t="str">
        <x:v>piano chords for beginners pdf</x:v>
      </x:c>
      <x:c r="C192" s="22"/>
      <x:c r="D192" s="22" t="str">
        <x:v>同页补充/条件/问题（非同义）</x:v>
      </x:c>
      <x:c r="E192" s="22" t="str">
        <x:v>P148</x:v>
      </x:c>
      <x:c r="F192" s="22" t="str">
        <x:v>/chords</x:v>
      </x:c>
      <x:c r="G192" s="22"/>
      <x:c r="H192" s="22" t="str">
        <x:v>Google 第2批 图11</x:v>
      </x:c>
      <x:c r="I192" s="22" t="str">
        <x:v>默认有图表；根音/类型选择、试听、打印及读图说明。</x:v>
      </x:c>
    </x:row>
    <x:row r="193" ht="44" customHeight="1">
      <x:c r="A193" s="22" t="str">
        <x:v>K1406</x:v>
      </x:c>
      <x:c r="B193" s="22" t="str">
        <x:v>pretty piano chord progressions</x:v>
      </x:c>
      <x:c r="C193" s="22"/>
      <x:c r="D193" s="22" t="str">
        <x:v>同义词合并</x:v>
      </x:c>
      <x:c r="E193" s="22" t="str">
        <x:v>P177</x:v>
      </x:c>
      <x:c r="F193" s="22" t="str">
        <x:v>/chord-progressions</x:v>
      </x:c>
      <x:c r="G193" s="22" t="str">
        <x:v>beautiful</x:v>
      </x:c>
      <x:c r="H193" s="22" t="str">
        <x:v>关键词策略构建器数据汇总.md｜L82｜piano chord chart &gt; piano chord chart</x:v>
      </x:c>
      <x:c r="I193" s="22" t="str">
        <x:v>查询优美钢琴和弦走向；必须在该页提供实际结果，不只增加一个关键词。</x:v>
      </x:c>
    </x:row>
    <x:row r="194" ht="44" customHeight="1">
      <x:c r="A194" s="22" t="str">
        <x:v>K1419</x:v>
      </x:c>
      <x:c r="B194" s="22" t="str">
        <x:v>what are all the chords on piano?</x:v>
      </x:c>
      <x:c r="C194" s="22"/>
      <x:c r="D194" s="22" t="str">
        <x:v>同页补充/条件/问题（非同义）</x:v>
      </x:c>
      <x:c r="E194" s="22" t="str">
        <x:v>P148</x:v>
      </x:c>
      <x:c r="F194" s="22" t="str">
        <x:v>/chords</x:v>
      </x:c>
      <x:c r="G194" s="22"/>
      <x:c r="H194" s="22" t="str">
        <x:v>Google 第2批 图10; Google 第2批 图11</x:v>
      </x:c>
      <x:c r="I194" s="22" t="str">
        <x:v>默认有图表；根音/类型选择、试听、打印及读图说明。</x:v>
      </x:c>
    </x:row>
    <x:row r="195" ht="44" customHeight="1">
      <x:c r="A195" s="22" t="str">
        <x:v>K1425</x:v>
      </x:c>
      <x:c r="B195" s="22" t="str">
        <x:v>what are the 12 chords for piano?</x:v>
      </x:c>
      <x:c r="C195" s="22"/>
      <x:c r="D195" s="22" t="str">
        <x:v>同页补充/条件/问题（非同义）</x:v>
      </x:c>
      <x:c r="E195" s="22" t="str">
        <x:v>P148</x:v>
      </x:c>
      <x:c r="F195" s="22" t="str">
        <x:v>/chords</x:v>
      </x:c>
      <x:c r="G195" s="22"/>
      <x:c r="H195" s="22" t="str">
        <x:v>Google 第2批 图10; Google 第2批 图11</x:v>
      </x:c>
      <x:c r="I195" s="22" t="str">
        <x:v>默认有图表；根音/类型选择、试听、打印及读图说明。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111a13da530d4a0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" hidden="0" customWidth="1"/>
    <x:col min="3" max="3" width="10" hidden="0" customWidth="1"/>
    <x:col min="4" max="4" width="28" hidden="0" customWidth="1"/>
    <x:col min="5" max="5" width="48" hidden="0" customWidth="1"/>
    <x:col min="6" max="6" width="48" hidden="0" customWidth="1"/>
    <x:col min="7" max="7" width="14" hidden="0" customWidth="1"/>
    <x:col min="8" max="8" width="23" hidden="0" customWidth="1"/>
  </x:cols>
  <x:sheetData>
    <x:row r="1" ht="32" customHeight="1">
      <x:c r="A1" s="3" t="str">
        <x:v>完成任务17项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证据口径：原规划来自附件；实现来自用户报告，待Codex以同一版本核对；预测数量不作强制指标。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4" t="str">
        <x:v>ID</x:v>
      </x:c>
      <x:c r="B4" s="14" t="str">
        <x:v>优先级</x:v>
      </x:c>
      <x:c r="C4" s="14" t="str">
        <x:v>阶段</x:v>
      </x:c>
      <x:c r="D4" s="14" t="str">
        <x:v>任务</x:v>
      </x:c>
      <x:c r="E4" s="14" t="str">
        <x:v>怎么做</x:v>
      </x:c>
      <x:c r="F4" s="14" t="str">
        <x:v>完成标准</x:v>
      </x:c>
      <x:c r="G4" s="14" t="str">
        <x:v>责任人</x:v>
      </x:c>
      <x:c r="H4" s="14" t="str">
        <x:v>状态</x:v>
      </x:c>
    </x:row>
    <x:row r="5" ht="44" customHeight="1">
      <x:c r="A5" s="22" t="str">
        <x:v>F01</x:v>
      </x:c>
      <x:c r="B5" s="22" t="str">
        <x:v>P0</x:v>
      </x:c>
      <x:c r="C5" s="22" t="str">
        <x:v>A</x:v>
      </x:c>
      <x:c r="D5" s="22" t="str">
        <x:v>基线与任务覆盖</x:v>
      </x:c>
      <x:c r="E5" s="22" t="str">
        <x:v>记录真实Git/route/sitemap，保留旧127快照与38任务，不重跑全部旧测试</x:v>
      </x:c>
      <x:c r="F5" s="22" t="str">
        <x:v>158条报告路由与实际差异可解释</x:v>
      </x:c>
      <x:c r="G5" s="22" t="str">
        <x:v>Codex</x:v>
      </x:c>
      <x:c r="H5" s="22" t="str">
        <x:v>not_executed</x:v>
      </x:c>
    </x:row>
    <x:row r="6" ht="44" customHeight="1">
      <x:c r="A6" s="22" t="str">
        <x:v>F02</x:v>
      </x:c>
      <x:c r="B6" s="22" t="str">
        <x:v>P0</x:v>
      </x:c>
      <x:c r="C6" s="22" t="str">
        <x:v>B</x:v>
      </x:c>
      <x:c r="D6" s="22" t="str">
        <x:v>Extended</x:v>
      </x:c>
      <x:c r="E6" s="22" t="str">
        <x:v>9种明确子类型，理论式＋实际排列，2套视图</x:v>
      </x:c>
      <x:c r="F6" s="22" t="str">
        <x:v>108对象语义和输入输出一致</x:v>
      </x:c>
      <x:c r="G6" s="22" t="str">
        <x:v>Codex</x:v>
      </x:c>
      <x:c r="H6" s="22" t="str">
        <x:v>not_executed</x:v>
      </x:c>
    </x:row>
    <x:row r="7" ht="44" customHeight="1">
      <x:c r="A7" s="22" t="str">
        <x:v>F03</x:v>
      </x:c>
      <x:c r="B7" s="22" t="str">
        <x:v>P0</x:v>
      </x:c>
      <x:c r="C7" s="22" t="str">
        <x:v>C</x:v>
      </x:c>
      <x:c r="D7" s="22" t="str">
        <x:v>Altered</x:v>
      </x:c>
      <x:c r="E7" s="22" t="str">
        <x:v>8种显式变音，generic alt返回范围解释</x:v>
      </x:c>
      <x:c r="F7" s="22" t="str">
        <x:v>96对象，变音/省略/拼写负例通过</x:v>
      </x:c>
      <x:c r="G7" s="22" t="str">
        <x:v>Codex</x:v>
      </x:c>
      <x:c r="H7" s="22" t="str">
        <x:v>not_executed</x:v>
      </x:c>
    </x:row>
    <x:row r="8" ht="44" customHeight="1">
      <x:c r="A8" s="22" t="str">
        <x:v>F04</x:v>
      </x:c>
      <x:c r="B8" s="22" t="str">
        <x:v>P0</x:v>
      </x:c>
      <x:c r="C8" s="22" t="str">
        <x:v>B</x:v>
      </x:c>
      <x:c r="D8" s="22" t="str">
        <x:v>原power缺口与常见结构补齐</x:v>
      </x:c>
      <x:c r="E8" s="22" t="str">
        <x:v>84对象同页嵌入已有关联入口</x:v>
      </x:c>
      <x:c r="F8" s="22" t="str">
        <x:v>无额外详情URL，power允许2音类及根音重复</x:v>
      </x:c>
      <x:c r="G8" s="22" t="str">
        <x:v>Codex</x:v>
      </x:c>
      <x:c r="H8" s="22" t="str">
        <x:v>not_executed</x:v>
      </x:c>
    </x:row>
    <x:row r="9" ht="44" customHeight="1">
      <x:c r="A9" s="22" t="str">
        <x:v>F05</x:v>
      </x:c>
      <x:c r="B9" s="22" t="str">
        <x:v>P0</x:v>
      </x:c>
      <x:c r="C9" s="22" t="str">
        <x:v>D</x:v>
      </x:c>
      <x:c r="D9" s="22" t="str">
        <x:v>Hub全库查阅</x:v>
      </x:c>
      <x:c r="E9" s="22" t="str">
        <x:v>默认25轻卡，所有supported对象可按根音与类型找到</x:v>
      </x:c>
      <x:c r="F9" s="22" t="str">
        <x:v>可以从首页Chords找到C13/C7b9/Cdim7，而非只有目录</x:v>
      </x:c>
      <x:c r="G9" s="22" t="str">
        <x:v>Codex</x:v>
      </x:c>
      <x:c r="H9" s="22" t="str">
        <x:v>not_executed</x:v>
      </x:c>
    </x:row>
    <x:row r="10" ht="44" customHeight="1">
      <x:c r="A10" s="22" t="str">
        <x:v>F06</x:v>
      </x:c>
      <x:c r="B10" s="22" t="str">
        <x:v>P0</x:v>
      </x:c>
      <x:c r="C10" s="22" t="str">
        <x:v>D</x:v>
      </x:c>
      <x:c r="D10" s="22" t="str">
        <x:v>Finder</x:v>
      </x:c>
      <x:c r="E10" s="22" t="str">
        <x:v>音符输入＋可选实际低音；精确、已定义省略、多解释分开</x:v>
      </x:c>
      <x:c r="F10" s="22" t="str">
        <x:v>等音/对称/重复/斜杠/不支持输入不误导</x:v>
      </x:c>
      <x:c r="G10" s="22" t="str">
        <x:v>Codex</x:v>
      </x:c>
      <x:c r="H10" s="22" t="str">
        <x:v>not_executed</x:v>
      </x:c>
    </x:row>
    <x:row r="11" ht="44" customHeight="1">
      <x:c r="A11" s="22" t="str">
        <x:v>F07</x:v>
      </x:c>
      <x:c r="B11" s="22" t="str">
        <x:v>P1</x:v>
      </x:c>
      <x:c r="C11" s="22" t="str">
        <x:v>D</x:v>
      </x:c>
      <x:c r="D11" s="22" t="str">
        <x:v>By-key</x:v>
      </x:c>
      <x:c r="E11" s="22" t="str">
        <x:v>24个大调与自然小调，三音＋七和弦表</x:v>
      </x:c>
      <x:c r="F11" s="22" t="str">
        <x:v>336行真实结果；和弦root不同于key；小调变化明确</x:v>
      </x:c>
      <x:c r="G11" s="22" t="str">
        <x:v>Codex</x:v>
      </x:c>
      <x:c r="H11" s="22" t="str">
        <x:v>not_executed</x:v>
      </x:c>
    </x:row>
    <x:row r="12" ht="44" customHeight="1">
      <x:c r="A12" s="22" t="str">
        <x:v>F08</x:v>
      </x:c>
      <x:c r="B12" s="22" t="str">
        <x:v>P1</x:v>
      </x:c>
      <x:c r="C12" s="22" t="str">
        <x:v>D</x:v>
      </x:c>
      <x:c r="D12" s="22" t="str">
        <x:v>Progressions</x:v>
      </x:c>
      <x:c r="E12" s="22" t="str">
        <x:v>8套进行×12调，loop/速度/当前音与共同音</x:v>
      </x:c>
      <x:c r="F12" s="22" t="str">
        <x:v>96例；情绪仅主观标签；无真实演奏评分</x:v>
      </x:c>
      <x:c r="G12" s="22" t="str">
        <x:v>Codex</x:v>
      </x:c>
      <x:c r="H12" s="22" t="str">
        <x:v>not_executed</x:v>
      </x:c>
    </x:row>
    <x:row r="13" ht="44" customHeight="1">
      <x:c r="A13" s="22" t="str">
        <x:v>F09</x:v>
      </x:c>
      <x:c r="B13" s="22" t="str">
        <x:v>P0</x:v>
      </x:c>
      <x:c r="C13" s="22" t="str">
        <x:v>E</x:v>
      </x:c>
      <x:c r="D13" s="22" t="str">
        <x:v>Guide学习路径</x:v>
      </x:c>
      <x:c r="E13" s="22" t="str">
        <x:v>从三和弦→转位→七和弦→省略→进行，真实例子</x:v>
      </x:c>
      <x:c r="F13" s="22" t="str">
        <x:v>原beginner/transitions保留，新增知识不删除原正确正文</x:v>
      </x:c>
      <x:c r="G13" s="22" t="str">
        <x:v>Codex</x:v>
      </x:c>
      <x:c r="H13" s="22" t="str">
        <x:v>not_executed</x:v>
      </x:c>
    </x:row>
    <x:row r="14" ht="44" customHeight="1">
      <x:c r="A14" s="22" t="str">
        <x:v>F10</x:v>
      </x:c>
      <x:c r="B14" s="22" t="str">
        <x:v>P0</x:v>
      </x:c>
      <x:c r="C14" s="22" t="str">
        <x:v>E</x:v>
      </x:c>
      <x:c r="D14" s="22" t="str">
        <x:v>练习判定</x:v>
      </x:c>
      <x:c r="E14" s="22" t="str">
        <x:v>formula_pitch_classes、example_midi_set、example_pitch_classes分别命名</x:v>
      </x:c>
      <x:c r="F14" s="22" t="str">
        <x:v>无音区误判和省略语义混淆</x:v>
      </x:c>
      <x:c r="G14" s="22" t="str">
        <x:v>Codex</x:v>
      </x:c>
      <x:c r="H14" s="22" t="str">
        <x:v>not_executed</x:v>
      </x:c>
    </x:row>
    <x:row r="15" ht="44" customHeight="1">
      <x:c r="A15" s="22" t="str">
        <x:v>F11</x:v>
      </x:c>
      <x:c r="B15" s="22" t="str">
        <x:v>P0</x:v>
      </x:c>
      <x:c r="C15" s="22" t="str">
        <x:v>F</x:v>
      </x:c>
      <x:c r="D15" s="22" t="str">
        <x:v>打印和资产</x:v>
      </x:c>
      <x:c r="E15" s="22" t="str">
        <x:v>保留旧145详情PDF/SVG；当前例子打印；专题材料生成</x:v>
      </x:c>
      <x:c r="F15" s="22" t="str">
        <x:v>生成资产不冒充人工打印；文件/图/音/定义一致</x:v>
      </x:c>
      <x:c r="G15" s="22" t="str">
        <x:v>Codex</x:v>
      </x:c>
      <x:c r="H15" s="22" t="str">
        <x:v>not_executed</x:v>
      </x:c>
    </x:row>
    <x:row r="16" ht="44" customHeight="1">
      <x:c r="A16" s="22" t="str">
        <x:v>F12</x:v>
      </x:c>
      <x:c r="B16" s="22" t="str">
        <x:v>P0</x:v>
      </x:c>
      <x:c r="C16" s="22" t="str">
        <x:v>F</x:v>
      </x:c>
      <x:c r="D16" s="22" t="str">
        <x:v>无障碍</x:v>
      </x:c>
      <x:c r="E16" s="22" t="str">
        <x:v>焦点、触控、错误/结果朗读、文字缩放、动效偏好</x:v>
      </x:c>
      <x:c r="F16" s="22" t="str">
        <x:v>键盘可完整操作；手动读屏检查另记录</x:v>
      </x:c>
      <x:c r="G16" s="22" t="str">
        <x:v>Codex</x:v>
      </x:c>
      <x:c r="H16" s="22" t="str">
        <x:v>not_executed</x:v>
      </x:c>
    </x:row>
    <x:row r="17" ht="44" customHeight="1">
      <x:c r="A17" s="22" t="str">
        <x:v>F13</x:v>
      </x:c>
      <x:c r="B17" s="22" t="str">
        <x:v>P1</x:v>
      </x:c>
      <x:c r="C17" s="22" t="str">
        <x:v>F</x:v>
      </x:c>
      <x:c r="D17" s="22" t="str">
        <x:v>SEO</x:v>
      </x:c>
      <x:c r="E17" s="22" t="str">
        <x:v>保持旧URL；原191词追溯；每类意图owner；rawHTML及内链</x:v>
      </x:c>
      <x:c r="F17" s="22" t="str">
        <x:v>只2新增；不使用meta keywords；不制造参数URL</x:v>
      </x:c>
      <x:c r="G17" s="22" t="str">
        <x:v>Codex</x:v>
      </x:c>
      <x:c r="H17" s="22" t="str">
        <x:v>not_executed</x:v>
      </x:c>
    </x:row>
    <x:row r="18" ht="44" customHeight="1">
      <x:c r="A18" s="22" t="str">
        <x:v>F14</x:v>
      </x:c>
      <x:c r="B18" s="22" t="str">
        <x:v>P1</x:v>
      </x:c>
      <x:c r="C18" s="22" t="str">
        <x:v>F</x:v>
      </x:c>
      <x:c r="D18" s="22" t="str">
        <x:v>产品信任</x:v>
      </x:c>
      <x:c r="E18" s="22" t="str">
        <x:v>来源/规则派生/作者/审阅状态与范围说明</x:v>
      </x:c>
      <x:c r="F18" s="22" t="str">
        <x:v>无虚假教师/首创/全覆盖承诺</x:v>
      </x:c>
      <x:c r="G18" s="22" t="str">
        <x:v>Codex</x:v>
      </x:c>
      <x:c r="H18" s="22" t="str">
        <x:v>not_executed</x:v>
      </x:c>
    </x:row>
    <x:row r="19" ht="44" customHeight="1">
      <x:c r="A19" s="22" t="str">
        <x:v>F15</x:v>
      </x:c>
      <x:c r="B19" s="22" t="str">
        <x:v>P1</x:v>
      </x:c>
      <x:c r="C19" s="22" t="str">
        <x:v>F</x:v>
      </x:c>
      <x:c r="D19" s="22" t="str">
        <x:v>事件与本地便利</x:v>
      </x:c>
      <x:c r="E19" s="22" t="str">
        <x:v>复用当前分析器，白名单事件；可选最近使用</x:v>
      </x:c>
      <x:c r="F19" s="22" t="str">
        <x:v>无PII/重复埋点，无analytics权限照常可用</x:v>
      </x:c>
      <x:c r="G19" s="22" t="str">
        <x:v>Codex</x:v>
      </x:c>
      <x:c r="H19" s="22" t="str">
        <x:v>not_executed</x:v>
      </x:c>
    </x:row>
    <x:row r="20" ht="44" customHeight="1">
      <x:c r="A20" s="22" t="str">
        <x:v>F16</x:v>
      </x:c>
      <x:c r="B20" s="22" t="str">
        <x:v>P0</x:v>
      </x:c>
      <x:c r="C20" s="22" t="str">
        <x:v>G</x:v>
      </x:c>
      <x:c r="D20" s="22" t="str">
        <x:v>真实环境与发布</x:v>
      </x:c>
      <x:c r="E20" s="22" t="str">
        <x:v>同一构建人工抽检及部署权限</x:v>
      </x:c>
      <x:c r="F20" s="22" t="str">
        <x:v>检查结果、未测项、版本不混</x:v>
      </x:c>
      <x:c r="G20" s="22" t="str">
        <x:v>owner_and_real_testers</x:v>
      </x:c>
      <x:c r="H20" s="22" t="str">
        <x:v>not_executed</x:v>
      </x:c>
    </x:row>
    <x:row r="21" ht="44" customHeight="1">
      <x:c r="A21" s="22" t="str">
        <x:v>F17</x:v>
      </x:c>
      <x:c r="B21" s="22" t="str">
        <x:v>P1</x:v>
      </x:c>
      <x:c r="C21" s="22" t="str">
        <x:v>H</x:v>
      </x:c>
      <x:c r="D21" s="22" t="str">
        <x:v>真实使用验证</x:v>
      </x:c>
      <x:c r="E21" s="22" t="str">
        <x:v>目标用户任务观察与7/28/56天数据</x:v>
      </x:c>
      <x:c r="F21" s="22" t="str">
        <x:v>不把曝光等于任务成功，不保证排名</x:v>
      </x:c>
      <x:c r="G21" s="22" t="str">
        <x:v>owner_and_real_testers</x:v>
      </x:c>
      <x:c r="H21" s="22" t="str">
        <x:v>not_executed</x:v>
      </x:c>
    </x:row>
  </x:sheetData>
  <x:mergeCells>
    <x:mergeCell ref="A1:H1"/>
    <x:mergeCell ref="A2:H2"/>
  </x:mergeCells>
  <x:dataValidations count="1">
    <x:dataValidation type="list" sqref="H5:H21">
      <x:formula1>"not_executed,in_progress,done,partial,blocked,manual_pending"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8f895bc6cf4006"/>
  </x:tableParts>
</x:worksheet>
</file>